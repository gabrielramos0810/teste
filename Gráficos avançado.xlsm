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slicers/slicer2.xml" ContentType="application/vnd.ms-excel.slicer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slicers/slicer3.xml" ContentType="application/vnd.ms-excel.slicer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ivotTables/pivotTable4.xml" ContentType="application/vnd.openxmlformats-officedocument.spreadsheetml.pivotTab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pivotTables/pivotTable5.xml" ContentType="application/vnd.openxmlformats-officedocument.spreadsheetml.pivotTable+xml"/>
  <Override PartName="/xl/drawings/drawing7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8.xml" ContentType="application/vnd.openxmlformats-officedocument.drawing+xml"/>
  <Override PartName="/xl/slicers/slicer4.xml" ContentType="application/vnd.ms-excel.slicer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a837344d54b3505/Estudo/excel/"/>
    </mc:Choice>
  </mc:AlternateContent>
  <xr:revisionPtr revIDLastSave="1" documentId="8_{869FD7D5-BBFA-4838-A081-35CBA4902D38}" xr6:coauthVersionLast="47" xr6:coauthVersionMax="47" xr10:uidLastSave="{60384764-A639-4500-B5D3-DC822FFA0D20}"/>
  <bookViews>
    <workbookView xWindow="-120" yWindow="-120" windowWidth="20730" windowHeight="11160" xr2:uid="{02271F52-E25C-4571-800C-2550A65FFA21}"/>
  </bookViews>
  <sheets>
    <sheet name="exemplo youtube" sheetId="1" r:id="rId1"/>
    <sheet name="base dados chatgpt" sheetId="2" r:id="rId2"/>
    <sheet name="exercícios" sheetId="3" r:id="rId3"/>
    <sheet name="ex 4" sheetId="4" r:id="rId4"/>
    <sheet name="ex 5" sheetId="6" r:id="rId5"/>
    <sheet name="ex 7 (1)" sheetId="7" r:id="rId6"/>
    <sheet name="ex 7 (2)" sheetId="8" r:id="rId7"/>
    <sheet name="ex 7 (3)" sheetId="9" r:id="rId8"/>
    <sheet name="Dashboard 7" sheetId="10" r:id="rId9"/>
  </sheets>
  <definedNames>
    <definedName name="_xlnm._FilterDatabase" localSheetId="2" hidden="1">exercícios!$A$35:$B$35</definedName>
    <definedName name="SegmentaçãodeDados_Data">#N/A</definedName>
    <definedName name="SegmentaçãodeDados_Data1">#N/A</definedName>
    <definedName name="SegmentaçãodeDados_Fábrica">#N/A</definedName>
    <definedName name="SegmentaçãodeDados_Supervisor">#N/A</definedName>
    <definedName name="SegmentaçãodeDados_Supervisor1">#N/A</definedName>
  </definedNames>
  <calcPr calcId="181029"/>
  <pivotCaches>
    <pivotCache cacheId="0" r:id="rId10"/>
    <pivotCache cacheId="6" r:id="rId11"/>
  </pivotCaches>
  <extLst>
    <ext xmlns:x14="http://schemas.microsoft.com/office/spreadsheetml/2009/9/main" uri="{BBE1A952-AA13-448e-AADC-164F8A28A991}">
      <x14:slicerCaches>
        <x14:slicerCache r:id="rId12"/>
        <x14:slicerCache r:id="rId13"/>
        <x14:slicerCache r:id="rId14"/>
        <x14:slicerCache r:id="rId15"/>
        <x14:slicerCache r:id="rId1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0" i="3" l="1"/>
  <c r="B39" i="3"/>
  <c r="B38" i="3"/>
  <c r="B37" i="3"/>
  <c r="B36" i="3"/>
  <c r="B100" i="3"/>
  <c r="C100" i="3" s="1"/>
  <c r="B89" i="3"/>
  <c r="C88" i="3"/>
  <c r="C87" i="3"/>
  <c r="C86" i="3"/>
  <c r="C85" i="3"/>
  <c r="C89" i="3" s="1"/>
  <c r="B82" i="3"/>
  <c r="B81" i="3"/>
  <c r="B80" i="3"/>
  <c r="B79" i="3"/>
  <c r="C79" i="3" s="1"/>
  <c r="B71" i="3"/>
  <c r="B70" i="3"/>
  <c r="C71" i="3" s="1"/>
  <c r="B69" i="3"/>
  <c r="B68" i="3"/>
  <c r="C70" i="3" s="1"/>
  <c r="C61" i="3"/>
  <c r="C60" i="3"/>
  <c r="C59" i="3"/>
  <c r="C58" i="3"/>
  <c r="B61" i="3"/>
  <c r="B60" i="3"/>
  <c r="B59" i="3"/>
  <c r="B58" i="3"/>
  <c r="C18" i="3"/>
  <c r="C17" i="3"/>
  <c r="C16" i="3"/>
  <c r="C15" i="3"/>
  <c r="B18" i="3"/>
  <c r="B17" i="3"/>
  <c r="B16" i="3"/>
  <c r="B15" i="3"/>
  <c r="B23" i="1"/>
  <c r="B25" i="1" s="1"/>
  <c r="C20" i="1"/>
  <c r="C19" i="1"/>
  <c r="C18" i="1"/>
  <c r="C17" i="1"/>
  <c r="C16" i="1"/>
  <c r="C36" i="3" l="1"/>
  <c r="C80" i="3"/>
  <c r="C81" i="3"/>
  <c r="C82" i="3"/>
  <c r="D36" i="3"/>
  <c r="C38" i="3"/>
  <c r="B24" i="1"/>
  <c r="B26" i="1"/>
  <c r="B27" i="1"/>
  <c r="B28" i="1"/>
  <c r="C39" i="3" l="1"/>
  <c r="C37" i="3"/>
  <c r="D39" i="3"/>
  <c r="D38" i="3"/>
  <c r="D37" i="3"/>
  <c r="C25" i="1"/>
  <c r="C28" i="1"/>
  <c r="C24" i="1"/>
  <c r="C27" i="1"/>
  <c r="C26" i="1"/>
  <c r="B91" i="3" l="1"/>
  <c r="B94" i="3" s="1"/>
  <c r="B96" i="3" s="1"/>
</calcChain>
</file>

<file path=xl/sharedStrings.xml><?xml version="1.0" encoding="utf-8"?>
<sst xmlns="http://schemas.openxmlformats.org/spreadsheetml/2006/main" count="183" uniqueCount="55">
  <si>
    <t>Unidade</t>
  </si>
  <si>
    <t>Norte</t>
  </si>
  <si>
    <t>Sul</t>
  </si>
  <si>
    <t>Leste</t>
  </si>
  <si>
    <t>Oeste</t>
  </si>
  <si>
    <t>Centro</t>
  </si>
  <si>
    <t>Indicador</t>
  </si>
  <si>
    <t>Data</t>
  </si>
  <si>
    <t>Fábrica</t>
  </si>
  <si>
    <t>Produto</t>
  </si>
  <si>
    <t>Categoria</t>
  </si>
  <si>
    <t>Turno</t>
  </si>
  <si>
    <t>Quantidade Produzida</t>
  </si>
  <si>
    <t>Custo Unitário (R$)</t>
  </si>
  <si>
    <t>Vendas (R$)</t>
  </si>
  <si>
    <t>Defeitos</t>
  </si>
  <si>
    <t>Supervisor</t>
  </si>
  <si>
    <t>Curitiba</t>
  </si>
  <si>
    <t>Engrenagem A</t>
  </si>
  <si>
    <t>Mecânica</t>
  </si>
  <si>
    <t>Carla</t>
  </si>
  <si>
    <t>Eixo B</t>
  </si>
  <si>
    <t>Joinville</t>
  </si>
  <si>
    <t>Carcaça C</t>
  </si>
  <si>
    <t>Estrutural</t>
  </si>
  <si>
    <t>João</t>
  </si>
  <si>
    <t>Tampa D</t>
  </si>
  <si>
    <t>São Paulo</t>
  </si>
  <si>
    <t>Lucas</t>
  </si>
  <si>
    <t>Resposta</t>
  </si>
  <si>
    <t>o aumento da produção afeta a taxa de defeitos, maior produção igual a maior taxa de defeitos</t>
  </si>
  <si>
    <t>Acumulado</t>
  </si>
  <si>
    <t>Acumulado 2</t>
  </si>
  <si>
    <t>Engrenagem A e carcaça C correspondem a 62% dos valores</t>
  </si>
  <si>
    <t>Soma de Vendas (R$)</t>
  </si>
  <si>
    <t>Rótulos de Linha</t>
  </si>
  <si>
    <t>Total Geral</t>
  </si>
  <si>
    <t>Soma de Quantidade Produzida</t>
  </si>
  <si>
    <t>feito nas aba seguinte</t>
  </si>
  <si>
    <t>média móvel</t>
  </si>
  <si>
    <t>meta</t>
  </si>
  <si>
    <t>%meta</t>
  </si>
  <si>
    <t>escala</t>
  </si>
  <si>
    <t>Ruim</t>
  </si>
  <si>
    <t>Regular</t>
  </si>
  <si>
    <t>Bom</t>
  </si>
  <si>
    <t>Ótimo</t>
  </si>
  <si>
    <t>Total</t>
  </si>
  <si>
    <t>Valor</t>
  </si>
  <si>
    <t>Ponteiro</t>
  </si>
  <si>
    <t>Antes</t>
  </si>
  <si>
    <t>Depois</t>
  </si>
  <si>
    <t>meta produção</t>
  </si>
  <si>
    <t>meta vendas</t>
  </si>
  <si>
    <t>valor meta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</si>
</sst>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4">
    <xf numFmtId="0" fontId="0" fillId="0" borderId="0" xfId="0"/>
    <xf numFmtId="49" fontId="0" fillId="0" borderId="0" xfId="0" applyNumberFormat="1"/>
    <xf numFmtId="0" fontId="2" fillId="0" borderId="0" xfId="0" applyFont="1" applyAlignment="1">
      <alignment horizontal="center" vertical="center" wrapText="1"/>
    </xf>
    <xf numFmtId="14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9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14" fontId="0" fillId="0" borderId="0" xfId="0" applyNumberFormat="1" applyAlignment="1">
      <alignment horizontal="left"/>
    </xf>
    <xf numFmtId="0" fontId="0" fillId="0" borderId="0" xfId="0" applyNumberFormat="1"/>
    <xf numFmtId="9" fontId="0" fillId="0" borderId="0" xfId="0" applyNumberFormat="1" applyAlignment="1">
      <alignment vertical="center" wrapText="1"/>
    </xf>
    <xf numFmtId="9" fontId="0" fillId="0" borderId="0" xfId="0" applyNumberFormat="1"/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2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7/relationships/slicerCache" Target="slicerCaches/slicerCache5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microsoft.com/office/2007/relationships/slicerCache" Target="slicerCaches/slicerCache4.xml"/><Relationship Id="rId10" Type="http://schemas.openxmlformats.org/officeDocument/2006/relationships/pivotCacheDefinition" Target="pivotCache/pivotCacheDefinition1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'exemplo youtube'!$A$1:$A$6</c:f>
              <c:strCache>
                <c:ptCount val="6"/>
                <c:pt idx="0">
                  <c:v>Unidade</c:v>
                </c:pt>
                <c:pt idx="1">
                  <c:v>Norte</c:v>
                </c:pt>
                <c:pt idx="2">
                  <c:v>Sul</c:v>
                </c:pt>
                <c:pt idx="3">
                  <c:v>Leste</c:v>
                </c:pt>
                <c:pt idx="4">
                  <c:v>Oeste</c:v>
                </c:pt>
                <c:pt idx="5">
                  <c:v>Centro</c:v>
                </c:pt>
              </c:strCache>
            </c:strRef>
          </c:cat>
          <c:val>
            <c:numRef>
              <c:f>'exemplo youtube'!$B$1:$B$6</c:f>
              <c:numCache>
                <c:formatCode>General</c:formatCode>
                <c:ptCount val="6"/>
                <c:pt idx="0">
                  <c:v>2022</c:v>
                </c:pt>
                <c:pt idx="1">
                  <c:v>3630</c:v>
                </c:pt>
                <c:pt idx="2">
                  <c:v>2780</c:v>
                </c:pt>
                <c:pt idx="3">
                  <c:v>2375</c:v>
                </c:pt>
                <c:pt idx="4">
                  <c:v>2280</c:v>
                </c:pt>
                <c:pt idx="5">
                  <c:v>2752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AA-4FD4-9A92-B79A28B937D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'exemplo youtube'!$A$1:$A$6</c:f>
              <c:strCache>
                <c:ptCount val="6"/>
                <c:pt idx="0">
                  <c:v>Unidade</c:v>
                </c:pt>
                <c:pt idx="1">
                  <c:v>Norte</c:v>
                </c:pt>
                <c:pt idx="2">
                  <c:v>Sul</c:v>
                </c:pt>
                <c:pt idx="3">
                  <c:v>Leste</c:v>
                </c:pt>
                <c:pt idx="4">
                  <c:v>Oeste</c:v>
                </c:pt>
                <c:pt idx="5">
                  <c:v>Centro</c:v>
                </c:pt>
              </c:strCache>
            </c:strRef>
          </c:cat>
          <c:val>
            <c:numRef>
              <c:f>'exemplo youtube'!$C$1:$C$6</c:f>
              <c:numCache>
                <c:formatCode>General</c:formatCode>
                <c:ptCount val="6"/>
                <c:pt idx="0">
                  <c:v>2023</c:v>
                </c:pt>
                <c:pt idx="1">
                  <c:v>2529</c:v>
                </c:pt>
                <c:pt idx="2">
                  <c:v>2528</c:v>
                </c:pt>
                <c:pt idx="3">
                  <c:v>3596</c:v>
                </c:pt>
                <c:pt idx="4">
                  <c:v>3635</c:v>
                </c:pt>
                <c:pt idx="5">
                  <c:v>3746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AA-4FD4-9A92-B79A28B937DE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'exemplo youtube'!$A$1:$A$6</c:f>
              <c:strCache>
                <c:ptCount val="6"/>
                <c:pt idx="0">
                  <c:v>Unidade</c:v>
                </c:pt>
                <c:pt idx="1">
                  <c:v>Norte</c:v>
                </c:pt>
                <c:pt idx="2">
                  <c:v>Sul</c:v>
                </c:pt>
                <c:pt idx="3">
                  <c:v>Leste</c:v>
                </c:pt>
                <c:pt idx="4">
                  <c:v>Oeste</c:v>
                </c:pt>
                <c:pt idx="5">
                  <c:v>Centro</c:v>
                </c:pt>
              </c:strCache>
            </c:strRef>
          </c:cat>
          <c:val>
            <c:numRef>
              <c:f>'exemplo youtube'!$D$1:$D$6</c:f>
              <c:numCache>
                <c:formatCode>General</c:formatCode>
                <c:ptCount val="6"/>
                <c:pt idx="0">
                  <c:v>2024</c:v>
                </c:pt>
                <c:pt idx="1">
                  <c:v>3108</c:v>
                </c:pt>
                <c:pt idx="2">
                  <c:v>2410</c:v>
                </c:pt>
                <c:pt idx="3">
                  <c:v>3830</c:v>
                </c:pt>
                <c:pt idx="4">
                  <c:v>3019</c:v>
                </c:pt>
                <c:pt idx="5">
                  <c:v>2427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AA-4FD4-9A92-B79A28B937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935200"/>
        <c:axId val="11938080"/>
      </c:barChart>
      <c:catAx>
        <c:axId val="11935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38080"/>
        <c:crosses val="autoZero"/>
        <c:auto val="1"/>
        <c:lblAlgn val="ctr"/>
        <c:lblOffset val="100"/>
        <c:noMultiLvlLbl val="0"/>
      </c:catAx>
      <c:valAx>
        <c:axId val="11938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35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'exemplo youtube'!$B$15</c:f>
              <c:strCache>
                <c:ptCount val="1"/>
                <c:pt idx="0">
                  <c:v>2022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'exemplo youtube'!$A$16:$A$20</c:f>
              <c:strCache>
                <c:ptCount val="5"/>
                <c:pt idx="0">
                  <c:v>Norte</c:v>
                </c:pt>
                <c:pt idx="1">
                  <c:v>Sul</c:v>
                </c:pt>
                <c:pt idx="2">
                  <c:v>Leste</c:v>
                </c:pt>
                <c:pt idx="3">
                  <c:v>Oeste</c:v>
                </c:pt>
                <c:pt idx="4">
                  <c:v>Centro</c:v>
                </c:pt>
              </c:strCache>
            </c:strRef>
          </c:cat>
          <c:val>
            <c:numRef>
              <c:f>'exemplo youtube'!$B$16:$B$20</c:f>
              <c:numCache>
                <c:formatCode>General</c:formatCode>
                <c:ptCount val="5"/>
                <c:pt idx="0">
                  <c:v>3630</c:v>
                </c:pt>
                <c:pt idx="1">
                  <c:v>2780</c:v>
                </c:pt>
                <c:pt idx="2">
                  <c:v>2375</c:v>
                </c:pt>
                <c:pt idx="3">
                  <c:v>2280</c:v>
                </c:pt>
                <c:pt idx="4">
                  <c:v>2752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D6-4C33-8BD5-66C03E08E3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1960640"/>
        <c:axId val="11932320"/>
      </c:barChart>
      <c:lineChart>
        <c:grouping val="standard"/>
        <c:varyColors val="0"/>
        <c:ser>
          <c:idx val="1"/>
          <c:order val="1"/>
          <c:tx>
            <c:strRef>
              <c:f>'exemplo youtube'!$C$15</c:f>
              <c:strCache>
                <c:ptCount val="1"/>
                <c:pt idx="0">
                  <c:v>Indicador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'exemplo youtube'!$A$16:$A$20</c:f>
              <c:strCache>
                <c:ptCount val="5"/>
                <c:pt idx="0">
                  <c:v>Norte</c:v>
                </c:pt>
                <c:pt idx="1">
                  <c:v>Sul</c:v>
                </c:pt>
                <c:pt idx="2">
                  <c:v>Leste</c:v>
                </c:pt>
                <c:pt idx="3">
                  <c:v>Oeste</c:v>
                </c:pt>
                <c:pt idx="4">
                  <c:v>Centro</c:v>
                </c:pt>
              </c:strCache>
            </c:strRef>
          </c:cat>
          <c:val>
            <c:numRef>
              <c:f>'exemplo youtube'!$C$16:$C$20</c:f>
              <c:numCache>
                <c:formatCode>General</c:formatCode>
                <c:ptCount val="5"/>
                <c:pt idx="0">
                  <c:v>2763.4</c:v>
                </c:pt>
                <c:pt idx="1">
                  <c:v>2763.4</c:v>
                </c:pt>
                <c:pt idx="2">
                  <c:v>2763.4</c:v>
                </c:pt>
                <c:pt idx="3">
                  <c:v>2763.4</c:v>
                </c:pt>
                <c:pt idx="4">
                  <c:v>2763.4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D6-4C33-8BD5-66C03E08E3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60640"/>
        <c:axId val="11932320"/>
      </c:lineChart>
      <c:catAx>
        <c:axId val="1196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32320"/>
        <c:crosses val="autoZero"/>
        <c:auto val="1"/>
        <c:lblAlgn val="ctr"/>
        <c:lblOffset val="100"/>
        <c:noMultiLvlLbl val="0"/>
      </c:catAx>
      <c:valAx>
        <c:axId val="1193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6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análise</a:t>
            </a:r>
          </a:p>
        </c:rich>
      </c:tx>
      <c:layout>
        <c:manualLayout>
          <c:xMode val="edge"/>
          <c:yMode val="edge"/>
          <c:x val="2.9926837270341209E-2"/>
          <c:y val="4.32432432432432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'exemplo youtube'!$B$23</c:f>
              <c:strCache>
                <c:ptCount val="1"/>
                <c:pt idx="0">
                  <c:v>2022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'exemplo youtube'!$A$24:$A$28</c:f>
              <c:strCache>
                <c:ptCount val="5"/>
                <c:pt idx="0">
                  <c:v>Norte</c:v>
                </c:pt>
                <c:pt idx="1">
                  <c:v>Sul</c:v>
                </c:pt>
                <c:pt idx="2">
                  <c:v>Leste</c:v>
                </c:pt>
                <c:pt idx="3">
                  <c:v>Oeste</c:v>
                </c:pt>
                <c:pt idx="4">
                  <c:v>Centro</c:v>
                </c:pt>
              </c:strCache>
            </c:strRef>
          </c:cat>
          <c:val>
            <c:numRef>
              <c:f>'exemplo youtube'!$B$24:$B$28</c:f>
              <c:numCache>
                <c:formatCode>General</c:formatCode>
                <c:ptCount val="5"/>
                <c:pt idx="0">
                  <c:v>3630</c:v>
                </c:pt>
                <c:pt idx="1">
                  <c:v>2780</c:v>
                </c:pt>
                <c:pt idx="2">
                  <c:v>2375</c:v>
                </c:pt>
                <c:pt idx="3">
                  <c:v>2280</c:v>
                </c:pt>
                <c:pt idx="4">
                  <c:v>2752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22-44BD-AF9E-D3D898B39B5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axId val="1679317520"/>
        <c:axId val="1679309360"/>
      </c:barChart>
      <c:lineChart>
        <c:grouping val="standard"/>
        <c:varyColors val="0"/>
        <c:ser>
          <c:idx val="1"/>
          <c:order val="1"/>
          <c:tx>
            <c:strRef>
              <c:f>'exemplo youtube'!$C$23</c:f>
              <c:strCache>
                <c:ptCount val="1"/>
                <c:pt idx="0">
                  <c:v>Indicador</c:v>
                </c:pt>
              </c:strCache>
            </c:strRef>
          </c:tx>
          <c:spPr>
            <a:ln w="1270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'exemplo youtube'!$A$24:$A$28</c:f>
              <c:strCache>
                <c:ptCount val="5"/>
                <c:pt idx="0">
                  <c:v>Norte</c:v>
                </c:pt>
                <c:pt idx="1">
                  <c:v>Sul</c:v>
                </c:pt>
                <c:pt idx="2">
                  <c:v>Leste</c:v>
                </c:pt>
                <c:pt idx="3">
                  <c:v>Oeste</c:v>
                </c:pt>
                <c:pt idx="4">
                  <c:v>Centro</c:v>
                </c:pt>
              </c:strCache>
            </c:strRef>
          </c:cat>
          <c:val>
            <c:numRef>
              <c:f>'exemplo youtube'!$C$24:$C$28</c:f>
              <c:numCache>
                <c:formatCode>General</c:formatCode>
                <c:ptCount val="5"/>
                <c:pt idx="0">
                  <c:v>2763.4</c:v>
                </c:pt>
                <c:pt idx="1">
                  <c:v>2763.4</c:v>
                </c:pt>
                <c:pt idx="2">
                  <c:v>2763.4</c:v>
                </c:pt>
                <c:pt idx="3">
                  <c:v>2763.4</c:v>
                </c:pt>
                <c:pt idx="4">
                  <c:v>2763.4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22-44BD-AF9E-D3D898B39B5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31621952"/>
        <c:axId val="1731618592"/>
      </c:lineChart>
      <c:catAx>
        <c:axId val="1679317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79309360"/>
        <c:crosses val="autoZero"/>
        <c:auto val="1"/>
        <c:lblAlgn val="ctr"/>
        <c:lblOffset val="100"/>
        <c:noMultiLvlLbl val="0"/>
      </c:catAx>
      <c:valAx>
        <c:axId val="1679309360"/>
        <c:scaling>
          <c:orientation val="minMax"/>
          <c:max val="400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679317520"/>
        <c:crosses val="autoZero"/>
        <c:crossBetween val="between"/>
      </c:valAx>
      <c:valAx>
        <c:axId val="1731618592"/>
        <c:scaling>
          <c:orientation val="minMax"/>
          <c:max val="4000"/>
        </c:scaling>
        <c:delete val="1"/>
        <c:axPos val="r"/>
        <c:numFmt formatCode="General" sourceLinked="1"/>
        <c:majorTickMark val="out"/>
        <c:minorTickMark val="none"/>
        <c:tickLblPos val="nextTo"/>
        <c:crossAx val="1731621952"/>
        <c:crosses val="max"/>
        <c:crossBetween val="between"/>
      </c:valAx>
      <c:catAx>
        <c:axId val="17316219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316185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8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exercícios!$B$14</c:f>
              <c:strCache>
                <c:ptCount val="1"/>
                <c:pt idx="0">
                  <c:v>Quantidade Produzida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exercícios!$A$15:$A$18</c:f>
              <c:numCache>
                <c:formatCode>m/d/yyyy</c:formatCode>
                <c:ptCount val="4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</c:numCache>
            </c:numRef>
          </c:cat>
          <c:val>
            <c:numRef>
              <c:f>exercícios!$B$15:$B$18</c:f>
              <c:numCache>
                <c:formatCode>General</c:formatCode>
                <c:ptCount val="4"/>
                <c:pt idx="0">
                  <c:v>970</c:v>
                </c:pt>
                <c:pt idx="1">
                  <c:v>630</c:v>
                </c:pt>
                <c:pt idx="2">
                  <c:v>1000</c:v>
                </c:pt>
                <c:pt idx="3">
                  <c:v>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D6-476E-8A58-D7C682303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679258000"/>
        <c:axId val="1679285360"/>
      </c:barChart>
      <c:lineChart>
        <c:grouping val="standard"/>
        <c:varyColors val="0"/>
        <c:ser>
          <c:idx val="1"/>
          <c:order val="1"/>
          <c:tx>
            <c:strRef>
              <c:f>exercícios!$C$14</c:f>
              <c:strCache>
                <c:ptCount val="1"/>
                <c:pt idx="0">
                  <c:v>Defeitos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exercícios!$A$15:$A$18</c:f>
              <c:numCache>
                <c:formatCode>m/d/yyyy</c:formatCode>
                <c:ptCount val="4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</c:numCache>
            </c:numRef>
          </c:cat>
          <c:val>
            <c:numRef>
              <c:f>exercícios!$C$15:$C$18</c:f>
              <c:numCache>
                <c:formatCode>General</c:formatCode>
                <c:ptCount val="4"/>
                <c:pt idx="0">
                  <c:v>14</c:v>
                </c:pt>
                <c:pt idx="1">
                  <c:v>7</c:v>
                </c:pt>
                <c:pt idx="2">
                  <c:v>9</c:v>
                </c:pt>
                <c:pt idx="3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D6-476E-8A58-D7C682303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45760"/>
        <c:axId val="11934720"/>
      </c:lineChart>
      <c:dateAx>
        <c:axId val="1679258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79285360"/>
        <c:crosses val="autoZero"/>
        <c:auto val="1"/>
        <c:lblOffset val="100"/>
        <c:baseTimeUnit val="days"/>
      </c:dateAx>
      <c:valAx>
        <c:axId val="1679285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79258000"/>
        <c:crosses val="autoZero"/>
        <c:crossBetween val="between"/>
      </c:valAx>
      <c:valAx>
        <c:axId val="119347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45760"/>
        <c:crosses val="max"/>
        <c:crossBetween val="between"/>
      </c:valAx>
      <c:dateAx>
        <c:axId val="1194576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193472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Pareto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exercícios!$B$35</c:f>
              <c:strCache>
                <c:ptCount val="1"/>
                <c:pt idx="0">
                  <c:v>Defeitos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exercícios!$A$36:$A$38</c:f>
              <c:strCache>
                <c:ptCount val="3"/>
                <c:pt idx="0">
                  <c:v>Engrenagem A</c:v>
                </c:pt>
                <c:pt idx="1">
                  <c:v>Carcaça C</c:v>
                </c:pt>
                <c:pt idx="2">
                  <c:v>Eixo B</c:v>
                </c:pt>
              </c:strCache>
            </c:strRef>
          </c:cat>
          <c:val>
            <c:numRef>
              <c:f>exercícios!$B$36:$B$39</c:f>
              <c:numCache>
                <c:formatCode>General</c:formatCode>
                <c:ptCount val="4"/>
                <c:pt idx="0">
                  <c:v>12</c:v>
                </c:pt>
                <c:pt idx="1">
                  <c:v>11</c:v>
                </c:pt>
                <c:pt idx="2">
                  <c:v>7</c:v>
                </c:pt>
                <c:pt idx="3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AB-49F0-A8E3-488854DCD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952480"/>
        <c:axId val="11954400"/>
      </c:barChart>
      <c:lineChart>
        <c:grouping val="standard"/>
        <c:varyColors val="0"/>
        <c:ser>
          <c:idx val="1"/>
          <c:order val="1"/>
          <c:tx>
            <c:strRef>
              <c:f>exercícios!$C$35</c:f>
              <c:strCache>
                <c:ptCount val="1"/>
                <c:pt idx="0">
                  <c:v>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exercícios!$A$36:$A$38</c:f>
              <c:strCache>
                <c:ptCount val="3"/>
                <c:pt idx="0">
                  <c:v>Engrenagem A</c:v>
                </c:pt>
                <c:pt idx="1">
                  <c:v>Carcaça C</c:v>
                </c:pt>
                <c:pt idx="2">
                  <c:v>Eixo B</c:v>
                </c:pt>
              </c:strCache>
            </c:strRef>
          </c:cat>
          <c:val>
            <c:numRef>
              <c:f>exercícios!$C$36:$C$39</c:f>
              <c:numCache>
                <c:formatCode>0%</c:formatCode>
                <c:ptCount val="4"/>
                <c:pt idx="0">
                  <c:v>0.32432432432432434</c:v>
                </c:pt>
                <c:pt idx="1">
                  <c:v>0.6216216216216216</c:v>
                </c:pt>
                <c:pt idx="2">
                  <c:v>0.81081081081081086</c:v>
                </c:pt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AB-49F0-A8E3-488854DCD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62560"/>
        <c:axId val="11992320"/>
      </c:lineChart>
      <c:catAx>
        <c:axId val="11952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54400"/>
        <c:crosses val="autoZero"/>
        <c:auto val="1"/>
        <c:lblAlgn val="ctr"/>
        <c:lblOffset val="100"/>
        <c:noMultiLvlLbl val="0"/>
      </c:catAx>
      <c:valAx>
        <c:axId val="1195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52480"/>
        <c:crosses val="autoZero"/>
        <c:crossBetween val="between"/>
      </c:valAx>
      <c:valAx>
        <c:axId val="1199232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62560"/>
        <c:crosses val="max"/>
        <c:crossBetween val="between"/>
      </c:valAx>
      <c:catAx>
        <c:axId val="119625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9923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exercícios!$C$57</c:f>
              <c:strCache>
                <c:ptCount val="1"/>
                <c:pt idx="0">
                  <c:v>Vendas (R$)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171EEA8-BA6F-4794-8605-4651A9DCDF75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F3A-4974-A31F-1B494CF434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ACDC5CE-4049-4C46-B71D-5B03D479EB5A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F3A-4974-A31F-1B494CF434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2FE560D-F3AB-4296-B388-071598081C0E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F3A-4974-A31F-1B494CF434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8952695-3A7F-4D3F-8C7A-C5253E6AC4D9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F3A-4974-A31F-1B494CF434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exercícios!$B$58:$B$61</c:f>
              <c:numCache>
                <c:formatCode>General</c:formatCode>
                <c:ptCount val="4"/>
                <c:pt idx="0">
                  <c:v>910</c:v>
                </c:pt>
                <c:pt idx="1">
                  <c:v>780</c:v>
                </c:pt>
                <c:pt idx="2">
                  <c:v>790</c:v>
                </c:pt>
                <c:pt idx="3">
                  <c:v>770</c:v>
                </c:pt>
              </c:numCache>
            </c:numRef>
          </c:xVal>
          <c:yVal>
            <c:numRef>
              <c:f>exercícios!$C$58:$C$61</c:f>
              <c:numCache>
                <c:formatCode>General</c:formatCode>
                <c:ptCount val="4"/>
                <c:pt idx="0">
                  <c:v>17200</c:v>
                </c:pt>
                <c:pt idx="1">
                  <c:v>14400</c:v>
                </c:pt>
                <c:pt idx="2">
                  <c:v>15000</c:v>
                </c:pt>
                <c:pt idx="3">
                  <c:v>11300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exercícios!$A$58:$A$61</c15:f>
                <c15:dlblRangeCache>
                  <c:ptCount val="4"/>
                  <c:pt idx="0">
                    <c:v>Engrenagem A</c:v>
                  </c:pt>
                  <c:pt idx="1">
                    <c:v>Eixo B</c:v>
                  </c:pt>
                  <c:pt idx="2">
                    <c:v>Carcaça C</c:v>
                  </c:pt>
                  <c:pt idx="3">
                    <c:v>Tampa 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F3A-4974-A31F-1B494CF434B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89896672"/>
        <c:axId val="189923072"/>
      </c:scatterChart>
      <c:valAx>
        <c:axId val="189896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9923072"/>
        <c:crosses val="autoZero"/>
        <c:crossBetween val="midCat"/>
      </c:valAx>
      <c:valAx>
        <c:axId val="18992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989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Média Móvel</a:t>
            </a:r>
            <a:r>
              <a:rPr lang="pt-BR" baseline="0"/>
              <a:t> Produção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exercícios!$B$67</c:f>
              <c:strCache>
                <c:ptCount val="1"/>
                <c:pt idx="0">
                  <c:v>Quantidade Produzida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exercícios!$A$68:$A$71</c:f>
              <c:numCache>
                <c:formatCode>m/d/yyyy</c:formatCode>
                <c:ptCount val="4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</c:numCache>
            </c:numRef>
          </c:cat>
          <c:val>
            <c:numRef>
              <c:f>exercícios!$B$68:$B$71</c:f>
              <c:numCache>
                <c:formatCode>General</c:formatCode>
                <c:ptCount val="4"/>
                <c:pt idx="0">
                  <c:v>970</c:v>
                </c:pt>
                <c:pt idx="1">
                  <c:v>630</c:v>
                </c:pt>
                <c:pt idx="2">
                  <c:v>1000</c:v>
                </c:pt>
                <c:pt idx="3">
                  <c:v>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47-423D-9565-CF9EFFA275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9258960"/>
        <c:axId val="1679259440"/>
      </c:barChart>
      <c:lineChart>
        <c:grouping val="standard"/>
        <c:varyColors val="0"/>
        <c:ser>
          <c:idx val="1"/>
          <c:order val="1"/>
          <c:tx>
            <c:strRef>
              <c:f>exercícios!$C$67</c:f>
              <c:strCache>
                <c:ptCount val="1"/>
                <c:pt idx="0">
                  <c:v>média móvel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exercícios!$A$68:$A$71</c:f>
              <c:numCache>
                <c:formatCode>m/d/yyyy</c:formatCode>
                <c:ptCount val="4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</c:numCache>
            </c:numRef>
          </c:cat>
          <c:val>
            <c:numRef>
              <c:f>exercícios!$C$68:$C$71</c:f>
              <c:numCache>
                <c:formatCode>General</c:formatCode>
                <c:ptCount val="4"/>
                <c:pt idx="2">
                  <c:v>866.66666666666663</c:v>
                </c:pt>
                <c:pt idx="3">
                  <c:v>760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47-423D-9565-CF9EFFA275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9258960"/>
        <c:axId val="1679259440"/>
      </c:lineChart>
      <c:dateAx>
        <c:axId val="16792589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79259440"/>
        <c:crosses val="autoZero"/>
        <c:auto val="1"/>
        <c:lblOffset val="100"/>
        <c:baseTimeUnit val="days"/>
      </c:dateAx>
      <c:valAx>
        <c:axId val="1679259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79258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Nível Produção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FF0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EBE-48B0-8B03-239CF3388E8E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0EBE-48B0-8B03-239CF3388E8E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EBE-48B0-8B03-239CF3388E8E}"/>
              </c:ext>
            </c:extLst>
          </c:dPt>
          <c:dPt>
            <c:idx val="3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0EBE-48B0-8B03-239CF3388E8E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EBE-48B0-8B03-239CF3388E8E}"/>
              </c:ext>
            </c:extLst>
          </c:dPt>
          <c:cat>
            <c:strRef>
              <c:f>exercícios!$A$85:$A$89</c:f>
              <c:strCache>
                <c:ptCount val="5"/>
                <c:pt idx="0">
                  <c:v>Ruim</c:v>
                </c:pt>
                <c:pt idx="1">
                  <c:v>Regular</c:v>
                </c:pt>
                <c:pt idx="2">
                  <c:v>Bom</c:v>
                </c:pt>
                <c:pt idx="3">
                  <c:v>Ótimo</c:v>
                </c:pt>
                <c:pt idx="4">
                  <c:v>Total</c:v>
                </c:pt>
              </c:strCache>
            </c:strRef>
          </c:cat>
          <c:val>
            <c:numRef>
              <c:f>exercícios!$B$85:$B$89</c:f>
              <c:numCache>
                <c:formatCode>0%</c:formatCode>
                <c:ptCount val="5"/>
                <c:pt idx="0">
                  <c:v>0.2</c:v>
                </c:pt>
                <c:pt idx="1">
                  <c:v>0.2</c:v>
                </c:pt>
                <c:pt idx="2">
                  <c:v>0.4</c:v>
                </c:pt>
                <c:pt idx="3">
                  <c:v>0.2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BE-48B0-8B03-239CF3388E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80"/>
      </c:doughnutChart>
      <c:pieChart>
        <c:varyColors val="1"/>
        <c:ser>
          <c:idx val="1"/>
          <c:order val="1"/>
          <c:tx>
            <c:v>Ponteiro</c:v>
          </c:tx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EBE-48B0-8B03-239CF3388E8E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0EBE-48B0-8B03-239CF3388E8E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0EBE-48B0-8B03-239CF3388E8E}"/>
              </c:ext>
            </c:extLst>
          </c:dPt>
          <c:val>
            <c:numRef>
              <c:f>exercícios!$B$94:$B$96</c:f>
              <c:numCache>
                <c:formatCode>0%</c:formatCode>
                <c:ptCount val="3"/>
                <c:pt idx="0">
                  <c:v>0.77990155057839028</c:v>
                </c:pt>
                <c:pt idx="1">
                  <c:v>0.04</c:v>
                </c:pt>
                <c:pt idx="2">
                  <c:v>1.1800984494216098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EBE-48B0-8B03-239CF3388E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Vendas x Produtos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exercícios!$B$102</c:f>
              <c:strCache>
                <c:ptCount val="1"/>
                <c:pt idx="0">
                  <c:v>Vendas (R$)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980-4E73-97C4-F16CBA4A2DA8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1980-4E73-97C4-F16CBA4A2DA8}"/>
              </c:ext>
            </c:extLst>
          </c:dPt>
          <c:dPt>
            <c:idx val="2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1980-4E73-97C4-F16CBA4A2DA8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980-4E73-97C4-F16CBA4A2DA8}"/>
              </c:ext>
            </c:extLst>
          </c:dPt>
          <c:cat>
            <c:strRef>
              <c:f>exercícios!$A$103:$A$106</c:f>
              <c:strCache>
                <c:ptCount val="4"/>
                <c:pt idx="0">
                  <c:v>Engrenagem A</c:v>
                </c:pt>
                <c:pt idx="1">
                  <c:v>Eixo B</c:v>
                </c:pt>
                <c:pt idx="2">
                  <c:v>Carcaça C</c:v>
                </c:pt>
                <c:pt idx="3">
                  <c:v>Tampa D</c:v>
                </c:pt>
              </c:strCache>
            </c:strRef>
          </c:cat>
          <c:val>
            <c:numRef>
              <c:f>exercícios!$B$103:$B$106</c:f>
              <c:numCache>
                <c:formatCode>General</c:formatCode>
                <c:ptCount val="4"/>
                <c:pt idx="0">
                  <c:v>17200</c:v>
                </c:pt>
                <c:pt idx="1">
                  <c:v>14400</c:v>
                </c:pt>
                <c:pt idx="2">
                  <c:v>15000</c:v>
                </c:pt>
                <c:pt idx="3">
                  <c:v>11300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80-4E73-97C4-F16CBA4A2DA8}"/>
            </c:ext>
          </c:extLst>
        </c:ser>
        <c:ser>
          <c:idx val="1"/>
          <c:order val="1"/>
          <c:tx>
            <c:strRef>
              <c:f>exercícios!$C$102</c:f>
              <c:strCache>
                <c:ptCount val="1"/>
                <c:pt idx="0">
                  <c:v>valor meta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exercícios!$A$103:$A$106</c:f>
              <c:strCache>
                <c:ptCount val="4"/>
                <c:pt idx="0">
                  <c:v>Engrenagem A</c:v>
                </c:pt>
                <c:pt idx="1">
                  <c:v>Eixo B</c:v>
                </c:pt>
                <c:pt idx="2">
                  <c:v>Carcaça C</c:v>
                </c:pt>
                <c:pt idx="3">
                  <c:v>Tampa D</c:v>
                </c:pt>
              </c:strCache>
            </c:strRef>
          </c:cat>
          <c:val>
            <c:numRef>
              <c:f>exercícios!$C$103:$C$106</c:f>
              <c:numCache>
                <c:formatCode>General</c:formatCode>
                <c:ptCount val="4"/>
                <c:pt idx="0">
                  <c:v>14475</c:v>
                </c:pt>
                <c:pt idx="1">
                  <c:v>14475</c:v>
                </c:pt>
                <c:pt idx="2">
                  <c:v>14475</c:v>
                </c:pt>
                <c:pt idx="3">
                  <c:v>14475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80-4E73-97C4-F16CBA4A2D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69056895"/>
        <c:axId val="269057855"/>
      </c:barChart>
      <c:catAx>
        <c:axId val="26905689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69057855"/>
        <c:crosses val="autoZero"/>
        <c:auto val="1"/>
        <c:lblAlgn val="ctr"/>
        <c:lblOffset val="100"/>
        <c:noMultiLvlLbl val="0"/>
      </c:catAx>
      <c:valAx>
        <c:axId val="2690578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690568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[Gráficos avançado.xlsm]ex 4!Tabela dinâmica26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'ex 4'!$B$3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'ex 4'!$A$4:$A$16</c:f>
              <c:multiLvlStrCache>
                <c:ptCount val="5"/>
                <c:lvl>
                  <c:pt idx="0">
                    <c:v>Curitiba</c:v>
                  </c:pt>
                  <c:pt idx="1">
                    <c:v>Joinville</c:v>
                  </c:pt>
                  <c:pt idx="2">
                    <c:v>Curitiba</c:v>
                  </c:pt>
                  <c:pt idx="3">
                    <c:v>Joinville</c:v>
                  </c:pt>
                  <c:pt idx="4">
                    <c:v>São Paulo</c:v>
                  </c:pt>
                </c:lvl>
                <c:lvl>
                  <c:pt idx="0">
                    <c:v>Carla</c:v>
                  </c:pt>
                  <c:pt idx="1">
                    <c:v>João</c:v>
                  </c:pt>
                  <c:pt idx="2">
                    <c:v>Carla</c:v>
                  </c:pt>
                  <c:pt idx="3">
                    <c:v>João</c:v>
                  </c:pt>
                  <c:pt idx="4">
                    <c:v>Lucas</c:v>
                  </c:pt>
                </c:lvl>
                <c:lvl>
                  <c:pt idx="0">
                    <c:v>Estrutural</c:v>
                  </c:pt>
                  <c:pt idx="2">
                    <c:v>Mecânica</c:v>
                  </c:pt>
                </c:lvl>
              </c:multiLvlStrCache>
            </c:multiLvlStrRef>
          </c:cat>
          <c:val>
            <c:numRef>
              <c:f>'ex 4'!$B$4:$B$16</c:f>
              <c:numCache>
                <c:formatCode>General</c:formatCode>
                <c:ptCount val="5"/>
                <c:pt idx="0">
                  <c:v>5000</c:v>
                </c:pt>
                <c:pt idx="1">
                  <c:v>13900</c:v>
                </c:pt>
                <c:pt idx="2">
                  <c:v>15500</c:v>
                </c:pt>
                <c:pt idx="3">
                  <c:v>5400</c:v>
                </c:pt>
                <c:pt idx="4">
                  <c:v>10700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66-4B14-9484-987478C358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9905312"/>
        <c:axId val="189924032"/>
      </c:barChart>
      <c:catAx>
        <c:axId val="189905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9924032"/>
        <c:crosses val="autoZero"/>
        <c:auto val="1"/>
        <c:lblAlgn val="ctr"/>
        <c:lblOffset val="100"/>
        <c:noMultiLvlLbl val="0"/>
      </c:catAx>
      <c:valAx>
        <c:axId val="18992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9905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[Gráficos avançado.xlsm]ex 5!Tabela dinâmica28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'ex 5'!$B$3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'ex 5'!$A$4:$A$16</c:f>
              <c:multiLvlStrCache>
                <c:ptCount val="8"/>
                <c:lvl>
                  <c:pt idx="0">
                    <c:v>1</c:v>
                  </c:pt>
                  <c:pt idx="1">
                    <c:v>2</c:v>
                  </c:pt>
                  <c:pt idx="2">
                    <c:v>1</c:v>
                  </c:pt>
                  <c:pt idx="3">
                    <c:v>2</c:v>
                  </c:pt>
                  <c:pt idx="4">
                    <c:v>1</c:v>
                  </c:pt>
                  <c:pt idx="5">
                    <c:v>2</c:v>
                  </c:pt>
                  <c:pt idx="6">
                    <c:v>3</c:v>
                  </c:pt>
                  <c:pt idx="7">
                    <c:v>3</c:v>
                  </c:pt>
                </c:lvl>
                <c:lvl>
                  <c:pt idx="0">
                    <c:v>01/01/2025</c:v>
                  </c:pt>
                  <c:pt idx="2">
                    <c:v>02/01/2025</c:v>
                  </c:pt>
                  <c:pt idx="4">
                    <c:v>03/01/2025</c:v>
                  </c:pt>
                  <c:pt idx="7">
                    <c:v>04/01/2025</c:v>
                  </c:pt>
                </c:lvl>
              </c:multiLvlStrCache>
            </c:multiLvlStrRef>
          </c:cat>
          <c:val>
            <c:numRef>
              <c:f>'ex 5'!$B$4:$B$16</c:f>
              <c:numCache>
                <c:formatCode>General</c:formatCode>
                <c:ptCount val="8"/>
                <c:pt idx="0">
                  <c:v>720</c:v>
                </c:pt>
                <c:pt idx="1">
                  <c:v>250</c:v>
                </c:pt>
                <c:pt idx="2">
                  <c:v>350</c:v>
                </c:pt>
                <c:pt idx="3">
                  <c:v>280</c:v>
                </c:pt>
                <c:pt idx="4">
                  <c:v>420</c:v>
                </c:pt>
                <c:pt idx="5">
                  <c:v>310</c:v>
                </c:pt>
                <c:pt idx="6">
                  <c:v>270</c:v>
                </c:pt>
                <c:pt idx="7">
                  <c:v>260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C3-4791-9252-F3FC87F110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9942752"/>
        <c:axId val="189930272"/>
      </c:barChart>
      <c:catAx>
        <c:axId val="189942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9930272"/>
        <c:crosses val="autoZero"/>
        <c:auto val="1"/>
        <c:lblAlgn val="ctr"/>
        <c:lblOffset val="100"/>
        <c:noMultiLvlLbl val="0"/>
      </c:catAx>
      <c:valAx>
        <c:axId val="189930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9942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[Gráficos avançado.xlsm]ex 7 (1)!Tabela dinâmica31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Vendas x Fábricas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'ex 7 (1)'!$B$3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'ex 7 (1)'!$A$4:$A$7</c:f>
              <c:strCache>
                <c:ptCount val="3"/>
                <c:pt idx="0">
                  <c:v>Curitiba</c:v>
                </c:pt>
                <c:pt idx="1">
                  <c:v>Joinville</c:v>
                </c:pt>
                <c:pt idx="2">
                  <c:v>São Paulo</c:v>
                </c:pt>
              </c:strCache>
            </c:strRef>
          </c:cat>
          <c:val>
            <c:numRef>
              <c:f>'ex 7 (1)'!$B$4:$B$7</c:f>
              <c:numCache>
                <c:formatCode>General</c:formatCode>
                <c:ptCount val="3"/>
                <c:pt idx="0">
                  <c:v>20500</c:v>
                </c:pt>
                <c:pt idx="1">
                  <c:v>19300</c:v>
                </c:pt>
                <c:pt idx="2">
                  <c:v>18100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5D-4D20-9D86-0FD4CA1A4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66376031"/>
        <c:axId val="1566376511"/>
      </c:barChart>
      <c:catAx>
        <c:axId val="1566376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6376511"/>
        <c:crosses val="autoZero"/>
        <c:auto val="1"/>
        <c:lblAlgn val="ctr"/>
        <c:lblOffset val="100"/>
        <c:noMultiLvlLbl val="0"/>
      </c:catAx>
      <c:valAx>
        <c:axId val="1566376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63760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[Gráficos avançado.xlsm]ex 7 (2)!Tabela dinâmica2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Produção</a:t>
            </a:r>
            <a:r>
              <a:rPr lang="en-US" baseline="0"/>
              <a:t> D</a:t>
            </a:r>
            <a:r>
              <a:rPr lang="en-US"/>
              <a:t>iária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'ex 7 (2)'!$B$3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'ex 7 (2)'!$A$4:$A$8</c:f>
              <c:strCache>
                <c:ptCount val="4"/>
                <c:pt idx="0">
                  <c:v>01/01/2025</c:v>
                </c:pt>
                <c:pt idx="1">
                  <c:v>02/01/2025</c:v>
                </c:pt>
                <c:pt idx="2">
                  <c:v>03/01/2025</c:v>
                </c:pt>
                <c:pt idx="3">
                  <c:v>04/01/2025</c:v>
                </c:pt>
              </c:strCache>
            </c:strRef>
          </c:cat>
          <c:val>
            <c:numRef>
              <c:f>'ex 7 (2)'!$B$4:$B$8</c:f>
              <c:numCache>
                <c:formatCode>General</c:formatCode>
                <c:ptCount val="4"/>
                <c:pt idx="0">
                  <c:v>970</c:v>
                </c:pt>
                <c:pt idx="1">
                  <c:v>630</c:v>
                </c:pt>
                <c:pt idx="2">
                  <c:v>1000</c:v>
                </c:pt>
                <c:pt idx="3">
                  <c:v>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EF-494D-91EB-2D3A71FF8D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114687"/>
        <c:axId val="264118527"/>
      </c:lineChart>
      <c:catAx>
        <c:axId val="2641146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64118527"/>
        <c:crosses val="autoZero"/>
        <c:auto val="1"/>
        <c:lblAlgn val="ctr"/>
        <c:lblOffset val="100"/>
        <c:noMultiLvlLbl val="0"/>
      </c:catAx>
      <c:valAx>
        <c:axId val="264118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641146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[Gráficos avançado.xlsm]ex 7 (3)!Tabela dinâmica3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Participação por</a:t>
            </a:r>
            <a:r>
              <a:rPr lang="en-US" baseline="0"/>
              <a:t> Categoria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9503171478565182"/>
          <c:y val="0.25865522018081066"/>
          <c:w val="0.41147353455818025"/>
          <c:h val="0.68578922426363376"/>
        </c:manualLayout>
      </c:layout>
      <c:doughnutChart>
        <c:varyColors val="1"/>
        <c:ser>
          <c:idx val="0"/>
          <c:order val="0"/>
          <c:tx>
            <c:strRef>
              <c:f>'ex 7 (3)'!$B$3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'ex 7 (3)'!$A$4:$A$6</c:f>
              <c:strCache>
                <c:ptCount val="2"/>
                <c:pt idx="0">
                  <c:v>Estrutural</c:v>
                </c:pt>
                <c:pt idx="1">
                  <c:v>Mecânica</c:v>
                </c:pt>
              </c:strCache>
            </c:strRef>
          </c:cat>
          <c:val>
            <c:numRef>
              <c:f>'ex 7 (3)'!$B$4:$B$6</c:f>
              <c:numCache>
                <c:formatCode>General</c:formatCode>
                <c:ptCount val="2"/>
                <c:pt idx="0">
                  <c:v>26300</c:v>
                </c:pt>
                <c:pt idx="1">
                  <c:v>31600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BF-4576-A455-ABEDA93D3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[Gráficos avançado.xlsm]ex 7 (1)!Tabela dinâmica31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Vendas x Fábricas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'ex 7 (1)'!$B$3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'ex 7 (1)'!$A$4:$A$7</c:f>
              <c:strCache>
                <c:ptCount val="3"/>
                <c:pt idx="0">
                  <c:v>Curitiba</c:v>
                </c:pt>
                <c:pt idx="1">
                  <c:v>Joinville</c:v>
                </c:pt>
                <c:pt idx="2">
                  <c:v>São Paulo</c:v>
                </c:pt>
              </c:strCache>
            </c:strRef>
          </c:cat>
          <c:val>
            <c:numRef>
              <c:f>'ex 7 (1)'!$B$4:$B$7</c:f>
              <c:numCache>
                <c:formatCode>General</c:formatCode>
                <c:ptCount val="3"/>
                <c:pt idx="0">
                  <c:v>20500</c:v>
                </c:pt>
                <c:pt idx="1">
                  <c:v>19300</c:v>
                </c:pt>
                <c:pt idx="2">
                  <c:v>18100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26-4477-9E1F-A14A41AADB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66376031"/>
        <c:axId val="1566376511"/>
      </c:barChart>
      <c:catAx>
        <c:axId val="1566376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6376511"/>
        <c:crosses val="autoZero"/>
        <c:auto val="1"/>
        <c:lblAlgn val="ctr"/>
        <c:lblOffset val="100"/>
        <c:noMultiLvlLbl val="0"/>
      </c:catAx>
      <c:valAx>
        <c:axId val="1566376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63760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[Gráficos avançado.xlsm]ex 7 (2)!Tabela dinâmica2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Produção</a:t>
            </a:r>
            <a:r>
              <a:rPr lang="en-US" baseline="0"/>
              <a:t> D</a:t>
            </a:r>
            <a:r>
              <a:rPr lang="en-US"/>
              <a:t>iária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'ex 7 (2)'!$B$3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'ex 7 (2)'!$A$4:$A$8</c:f>
              <c:strCache>
                <c:ptCount val="4"/>
                <c:pt idx="0">
                  <c:v>01/01/2025</c:v>
                </c:pt>
                <c:pt idx="1">
                  <c:v>02/01/2025</c:v>
                </c:pt>
                <c:pt idx="2">
                  <c:v>03/01/2025</c:v>
                </c:pt>
                <c:pt idx="3">
                  <c:v>04/01/2025</c:v>
                </c:pt>
              </c:strCache>
            </c:strRef>
          </c:cat>
          <c:val>
            <c:numRef>
              <c:f>'ex 7 (2)'!$B$4:$B$8</c:f>
              <c:numCache>
                <c:formatCode>General</c:formatCode>
                <c:ptCount val="4"/>
                <c:pt idx="0">
                  <c:v>970</c:v>
                </c:pt>
                <c:pt idx="1">
                  <c:v>630</c:v>
                </c:pt>
                <c:pt idx="2">
                  <c:v>1000</c:v>
                </c:pt>
                <c:pt idx="3">
                  <c:v>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CA-4CE6-8CB7-57D71179CF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114687"/>
        <c:axId val="264118527"/>
      </c:lineChart>
      <c:catAx>
        <c:axId val="2641146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64118527"/>
        <c:crosses val="autoZero"/>
        <c:auto val="1"/>
        <c:lblAlgn val="ctr"/>
        <c:lblOffset val="100"/>
        <c:noMultiLvlLbl val="0"/>
      </c:catAx>
      <c:valAx>
        <c:axId val="264118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641146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[Gráficos avançado.xlsm]ex 7 (3)!Tabela dinâmica3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Participação por</a:t>
            </a:r>
            <a:r>
              <a:rPr lang="en-US" baseline="0"/>
              <a:t> Categoria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9503171478565182"/>
          <c:y val="0.25865522018081066"/>
          <c:w val="0.41147353455818025"/>
          <c:h val="0.68578922426363376"/>
        </c:manualLayout>
      </c:layout>
      <c:doughnutChart>
        <c:varyColors val="1"/>
        <c:ser>
          <c:idx val="0"/>
          <c:order val="0"/>
          <c:tx>
            <c:strRef>
              <c:f>'ex 7 (3)'!$B$3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495-4B45-B02C-00252A5D662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495-4B45-B02C-00252A5D6629}"/>
              </c:ext>
            </c:extLst>
          </c:dPt>
          <c:cat>
            <c:strRef>
              <c:f>'ex 7 (3)'!$A$4:$A$6</c:f>
              <c:strCache>
                <c:ptCount val="2"/>
                <c:pt idx="0">
                  <c:v>Estrutural</c:v>
                </c:pt>
                <c:pt idx="1">
                  <c:v>Mecânica</c:v>
                </c:pt>
              </c:strCache>
            </c:strRef>
          </c:cat>
          <c:val>
            <c:numRef>
              <c:f>'ex 7 (3)'!$B$4:$B$6</c:f>
              <c:numCache>
                <c:formatCode>General</c:formatCode>
                <c:ptCount val="2"/>
                <c:pt idx="0">
                  <c:v>26300</c:v>
                </c:pt>
                <c:pt idx="1">
                  <c:v>31600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495-4B45-B02C-00252A5D66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22" fmlaLink="$O$24" fmlaRange="$N$24:$N$26" noThreeD="1" sel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333374</xdr:colOff>
      <xdr:row>0</xdr:row>
      <xdr:rowOff>0</xdr:rowOff>
    </xdr:from>
    <xdr:to>
      <xdr:col>11</xdr:col>
      <xdr:colOff>361949</xdr:colOff>
      <xdr:row>10</xdr:row>
      <xdr:rowOff>14287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F76402C-D64B-1FA0-87BF-1824E70C18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361949</xdr:colOff>
      <xdr:row>12</xdr:row>
      <xdr:rowOff>76199</xdr:rowOff>
    </xdr:from>
    <xdr:to>
      <xdr:col>11</xdr:col>
      <xdr:colOff>447674</xdr:colOff>
      <xdr:row>21</xdr:row>
      <xdr:rowOff>52386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B11B593-249B-EB47-94FA-12A8AC4DA6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28576</xdr:colOff>
      <xdr:row>21</xdr:row>
      <xdr:rowOff>104775</xdr:rowOff>
    </xdr:from>
    <xdr:to>
      <xdr:col>12</xdr:col>
      <xdr:colOff>28576</xdr:colOff>
      <xdr:row>30</xdr:row>
      <xdr:rowOff>152400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D6992AD-9D72-019A-F653-A53B661D7D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285750</xdr:colOff>
          <xdr:row>22</xdr:row>
          <xdr:rowOff>19050</xdr:rowOff>
        </xdr:from>
        <xdr:to>
          <xdr:col>11</xdr:col>
          <xdr:colOff>533400</xdr:colOff>
          <xdr:row>23</xdr:row>
          <xdr:rowOff>66675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457200</xdr:colOff>
      <xdr:row>1</xdr:row>
      <xdr:rowOff>80962</xdr:rowOff>
    </xdr:from>
    <xdr:to>
      <xdr:col>11</xdr:col>
      <xdr:colOff>152400</xdr:colOff>
      <xdr:row>15</xdr:row>
      <xdr:rowOff>157162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3118DF7-0798-4CBB-EA96-6A3014ED22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495300</xdr:colOff>
      <xdr:row>25</xdr:row>
      <xdr:rowOff>176212</xdr:rowOff>
    </xdr:from>
    <xdr:to>
      <xdr:col>13</xdr:col>
      <xdr:colOff>190500</xdr:colOff>
      <xdr:row>40</xdr:row>
      <xdr:rowOff>61912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3772F58-2778-1A92-AD37-B4FEAB7C64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561974</xdr:colOff>
      <xdr:row>43</xdr:row>
      <xdr:rowOff>157162</xdr:rowOff>
    </xdr:from>
    <xdr:to>
      <xdr:col>11</xdr:col>
      <xdr:colOff>400049</xdr:colOff>
      <xdr:row>55</xdr:row>
      <xdr:rowOff>161925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ABB6E94-C1A8-D414-54E6-7D899C3004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409575</xdr:colOff>
      <xdr:row>64</xdr:row>
      <xdr:rowOff>33337</xdr:rowOff>
    </xdr:from>
    <xdr:to>
      <xdr:col>11</xdr:col>
      <xdr:colOff>219075</xdr:colOff>
      <xdr:row>74</xdr:row>
      <xdr:rowOff>114300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1A628B74-B99F-10C5-46C2-7EDFFA68EF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752475</xdr:colOff>
      <xdr:row>79</xdr:row>
      <xdr:rowOff>33337</xdr:rowOff>
    </xdr:from>
    <xdr:to>
      <xdr:col>11</xdr:col>
      <xdr:colOff>228600</xdr:colOff>
      <xdr:row>93</xdr:row>
      <xdr:rowOff>109537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7A0F9E3-13B1-21C7-C417-FD630CD90F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590550</xdr:colOff>
      <xdr:row>100</xdr:row>
      <xdr:rowOff>123824</xdr:rowOff>
    </xdr:from>
    <xdr:to>
      <xdr:col>10</xdr:col>
      <xdr:colOff>28575</xdr:colOff>
      <xdr:row>112</xdr:row>
      <xdr:rowOff>23811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D3B2AE99-3180-9B9D-F2B0-34CF2608F6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514350</xdr:colOff>
      <xdr:row>1</xdr:row>
      <xdr:rowOff>57150</xdr:rowOff>
    </xdr:from>
    <xdr:to>
      <xdr:col>5</xdr:col>
      <xdr:colOff>514350</xdr:colOff>
      <xdr:row>8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Fábrica">
              <a:extLst>
                <a:ext uri="{FF2B5EF4-FFF2-40B4-BE49-F238E27FC236}">
                  <a16:creationId xmlns:a16="http://schemas.microsoft.com/office/drawing/2014/main" id="{BBF4153F-02C3-D1A0-8DD0-26F19E659DE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ábric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38475" y="247650"/>
              <a:ext cx="1828800" cy="1304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142875</xdr:colOff>
      <xdr:row>1</xdr:row>
      <xdr:rowOff>76201</xdr:rowOff>
    </xdr:from>
    <xdr:to>
      <xdr:col>9</xdr:col>
      <xdr:colOff>142875</xdr:colOff>
      <xdr:row>8</xdr:row>
      <xdr:rowOff>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Supervisor">
              <a:extLst>
                <a:ext uri="{FF2B5EF4-FFF2-40B4-BE49-F238E27FC236}">
                  <a16:creationId xmlns:a16="http://schemas.microsoft.com/office/drawing/2014/main" id="{5A1A824D-9425-A839-B9F8-C9B33FDC7AF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pervis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105400" y="266701"/>
              <a:ext cx="1828800" cy="12573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2</xdr:col>
      <xdr:colOff>495300</xdr:colOff>
      <xdr:row>8</xdr:row>
      <xdr:rowOff>100012</xdr:rowOff>
    </xdr:from>
    <xdr:to>
      <xdr:col>10</xdr:col>
      <xdr:colOff>190500</xdr:colOff>
      <xdr:row>22</xdr:row>
      <xdr:rowOff>176212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1718ED74-3DA4-1554-F99C-582F7343B9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2</xdr:row>
      <xdr:rowOff>4762</xdr:rowOff>
    </xdr:from>
    <xdr:to>
      <xdr:col>9</xdr:col>
      <xdr:colOff>571500</xdr:colOff>
      <xdr:row>16</xdr:row>
      <xdr:rowOff>80962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5EC853D-4CDB-CFC5-BE24-7387AA5FD3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476250</xdr:colOff>
      <xdr:row>1</xdr:row>
      <xdr:rowOff>133350</xdr:rowOff>
    </xdr:from>
    <xdr:to>
      <xdr:col>13</xdr:col>
      <xdr:colOff>476250</xdr:colOff>
      <xdr:row>9</xdr:row>
      <xdr:rowOff>104775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ata">
              <a:extLst>
                <a:ext uri="{FF2B5EF4-FFF2-40B4-BE49-F238E27FC236}">
                  <a16:creationId xmlns:a16="http://schemas.microsoft.com/office/drawing/2014/main" id="{3AA0C2AE-AC31-561B-2ED9-28B0ED90260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05825" y="323850"/>
              <a:ext cx="1828800" cy="14954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314325</xdr:colOff>
      <xdr:row>1</xdr:row>
      <xdr:rowOff>138112</xdr:rowOff>
    </xdr:from>
    <xdr:to>
      <xdr:col>7</xdr:col>
      <xdr:colOff>495300</xdr:colOff>
      <xdr:row>16</xdr:row>
      <xdr:rowOff>23812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845C88C-0776-38FA-6187-CC77131B1D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9525</xdr:colOff>
      <xdr:row>7</xdr:row>
      <xdr:rowOff>104776</xdr:rowOff>
    </xdr:from>
    <xdr:to>
      <xdr:col>1</xdr:col>
      <xdr:colOff>638175</xdr:colOff>
      <xdr:row>15</xdr:row>
      <xdr:rowOff>85726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" name="Data 1">
              <a:extLst>
                <a:ext uri="{FF2B5EF4-FFF2-40B4-BE49-F238E27FC236}">
                  <a16:creationId xmlns:a16="http://schemas.microsoft.com/office/drawing/2014/main" id="{7B0D6973-F909-6969-6D70-C184DD56C6E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" y="1438276"/>
              <a:ext cx="1828800" cy="1504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19050</xdr:colOff>
      <xdr:row>15</xdr:row>
      <xdr:rowOff>104776</xdr:rowOff>
    </xdr:from>
    <xdr:to>
      <xdr:col>1</xdr:col>
      <xdr:colOff>647700</xdr:colOff>
      <xdr:row>23</xdr:row>
      <xdr:rowOff>85726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" name="Supervisor 1">
              <a:extLst>
                <a:ext uri="{FF2B5EF4-FFF2-40B4-BE49-F238E27FC236}">
                  <a16:creationId xmlns:a16="http://schemas.microsoft.com/office/drawing/2014/main" id="{7EFA9D2B-4275-2803-7438-04362C9E5CA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pervisor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50" y="2962276"/>
              <a:ext cx="1828800" cy="1504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1</xdr:row>
      <xdr:rowOff>128587</xdr:rowOff>
    </xdr:from>
    <xdr:to>
      <xdr:col>9</xdr:col>
      <xdr:colOff>504825</xdr:colOff>
      <xdr:row>16</xdr:row>
      <xdr:rowOff>14287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0A808FA-6A7F-AE5C-CDB7-16A51BE6BB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</xdr:row>
      <xdr:rowOff>33337</xdr:rowOff>
    </xdr:from>
    <xdr:to>
      <xdr:col>9</xdr:col>
      <xdr:colOff>590550</xdr:colOff>
      <xdr:row>15</xdr:row>
      <xdr:rowOff>109537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C163665-EE91-6993-2869-79CF6C1387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123824</xdr:colOff>
      <xdr:row>0</xdr:row>
      <xdr:rowOff>9525</xdr:rowOff>
    </xdr:from>
    <xdr:to>
      <xdr:col>13</xdr:col>
      <xdr:colOff>209549</xdr:colOff>
      <xdr:row>14</xdr:row>
      <xdr:rowOff>85725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5882188-FC16-48B5-963B-7FB05A58B9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114299</xdr:colOff>
      <xdr:row>14</xdr:row>
      <xdr:rowOff>180976</xdr:rowOff>
    </xdr:from>
    <xdr:to>
      <xdr:col>7</xdr:col>
      <xdr:colOff>390524</xdr:colOff>
      <xdr:row>25</xdr:row>
      <xdr:rowOff>171450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185033F-2B96-4D2E-B799-F3607F7E0A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523875</xdr:colOff>
      <xdr:row>15</xdr:row>
      <xdr:rowOff>9526</xdr:rowOff>
    </xdr:from>
    <xdr:to>
      <xdr:col>13</xdr:col>
      <xdr:colOff>123825</xdr:colOff>
      <xdr:row>25</xdr:row>
      <xdr:rowOff>104776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8099764-ACF4-4CC7-B9BE-BE535E7984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57150</xdr:rowOff>
    </xdr:from>
    <xdr:to>
      <xdr:col>2</xdr:col>
      <xdr:colOff>66675</xdr:colOff>
      <xdr:row>8</xdr:row>
      <xdr:rowOff>38100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" name="Data 2">
              <a:extLst>
                <a:ext uri="{FF2B5EF4-FFF2-40B4-BE49-F238E27FC236}">
                  <a16:creationId xmlns:a16="http://schemas.microsoft.com/office/drawing/2014/main" id="{CD65157A-DC91-4A41-B604-4432A741FCC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57150"/>
              <a:ext cx="1285875" cy="1504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8</xdr:row>
      <xdr:rowOff>104775</xdr:rowOff>
    </xdr:from>
    <xdr:to>
      <xdr:col>2</xdr:col>
      <xdr:colOff>47625</xdr:colOff>
      <xdr:row>14</xdr:row>
      <xdr:rowOff>161925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6" name="Supervisor 2">
              <a:extLst>
                <a:ext uri="{FF2B5EF4-FFF2-40B4-BE49-F238E27FC236}">
                  <a16:creationId xmlns:a16="http://schemas.microsoft.com/office/drawing/2014/main" id="{AC1AF4E3-3267-4F56-9ADA-990B34B4846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pervisor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628775"/>
              <a:ext cx="1266825" cy="12001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" refreshedDate="45943.869893287039" createdVersion="8" refreshedVersion="8" minRefreshableVersion="3" recordCount="9" xr:uid="{DF45C8E8-B5DE-430F-9C4D-1FC28C8558FC}">
  <cacheSource type="worksheet">
    <worksheetSource ref="A1:J10" sheet="base dados chatgpt"/>
  </cacheSource>
  <cacheFields count="10">
    <cacheField name="Data" numFmtId="14">
      <sharedItems containsSemiMixedTypes="0" containsNonDate="0" containsDate="1" containsString="0" minDate="2025-01-01T00:00:00" maxDate="2025-01-05T00:00:00" count="4">
        <d v="2025-01-01T00:00:00"/>
        <d v="2025-01-02T00:00:00"/>
        <d v="2025-01-03T00:00:00"/>
        <d v="2025-01-04T00:00:00"/>
      </sharedItems>
    </cacheField>
    <cacheField name="Fábrica" numFmtId="0">
      <sharedItems count="3">
        <s v="Curitiba"/>
        <s v="Joinville"/>
        <s v="São Paulo"/>
      </sharedItems>
    </cacheField>
    <cacheField name="Produto" numFmtId="0">
      <sharedItems/>
    </cacheField>
    <cacheField name="Categoria" numFmtId="0">
      <sharedItems count="2">
        <s v="Mecânica"/>
        <s v="Estrutural"/>
      </sharedItems>
    </cacheField>
    <cacheField name="Turno" numFmtId="0">
      <sharedItems containsSemiMixedTypes="0" containsString="0" containsNumber="1" containsInteger="1" minValue="1" maxValue="3" count="3">
        <n v="1"/>
        <n v="2"/>
        <n v="3"/>
      </sharedItems>
    </cacheField>
    <cacheField name="Quantidade Produzida" numFmtId="0">
      <sharedItems containsSemiMixedTypes="0" containsString="0" containsNumber="1" containsInteger="1" minValue="250" maxValue="420"/>
    </cacheField>
    <cacheField name="Custo Unitário (R$)" numFmtId="0">
      <sharedItems containsSemiMixedTypes="0" containsString="0" containsNumber="1" containsInteger="1" minValue="10" maxValue="18"/>
    </cacheField>
    <cacheField name="Vendas (R$)" numFmtId="0">
      <sharedItems containsSemiMixedTypes="0" containsString="0" containsNumber="1" containsInteger="1" minValue="4700" maxValue="7600"/>
    </cacheField>
    <cacheField name="Defeitos" numFmtId="0">
      <sharedItems containsSemiMixedTypes="0" containsString="0" containsNumber="1" containsInteger="1" minValue="1" maxValue="7"/>
    </cacheField>
    <cacheField name="Supervisor" numFmtId="0">
      <sharedItems count="3">
        <s v="Carla"/>
        <s v="João"/>
        <s v="Lucas"/>
      </sharedItems>
    </cacheField>
  </cacheFields>
  <extLst>
    <ext xmlns:x14="http://schemas.microsoft.com/office/spreadsheetml/2009/9/main" uri="{725AE2AE-9491-48be-B2B4-4EB974FC3084}">
      <x14:pivotCacheDefinition pivotCacheId="191481220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" refreshedDate="45943.884745138887" createdVersion="8" refreshedVersion="8" minRefreshableVersion="3" recordCount="10" xr:uid="{389FBC24-E3F0-4DDC-89C6-400DC7653BCD}">
  <cacheSource type="worksheet">
    <worksheetSource ref="A1:J11" sheet="base dados chatgpt"/>
  </cacheSource>
  <cacheFields count="10">
    <cacheField name="Data" numFmtId="14">
      <sharedItems containsSemiMixedTypes="0" containsNonDate="0" containsDate="1" containsString="0" minDate="2025-01-01T00:00:00" maxDate="2025-01-05T00:00:00" count="4">
        <d v="2025-01-01T00:00:00"/>
        <d v="2025-01-02T00:00:00"/>
        <d v="2025-01-03T00:00:00"/>
        <d v="2025-01-04T00:00:00"/>
      </sharedItems>
    </cacheField>
    <cacheField name="Fábrica" numFmtId="0">
      <sharedItems count="3">
        <s v="Curitiba"/>
        <s v="Joinville"/>
        <s v="São Paulo"/>
      </sharedItems>
    </cacheField>
    <cacheField name="Produto" numFmtId="0">
      <sharedItems/>
    </cacheField>
    <cacheField name="Categoria" numFmtId="0">
      <sharedItems count="2">
        <s v="Mecânica"/>
        <s v="Estrutural"/>
      </sharedItems>
    </cacheField>
    <cacheField name="Turno" numFmtId="0">
      <sharedItems containsSemiMixedTypes="0" containsString="0" containsNumber="1" containsInteger="1" minValue="1" maxValue="3"/>
    </cacheField>
    <cacheField name="Quantidade Produzida" numFmtId="0">
      <sharedItems containsSemiMixedTypes="0" containsString="0" containsNumber="1" containsInteger="1" minValue="250" maxValue="420"/>
    </cacheField>
    <cacheField name="Custo Unitário (R$)" numFmtId="0">
      <sharedItems containsSemiMixedTypes="0" containsString="0" containsNumber="1" containsInteger="1" minValue="10" maxValue="18"/>
    </cacheField>
    <cacheField name="Vendas (R$)" numFmtId="0">
      <sharedItems containsSemiMixedTypes="0" containsString="0" containsNumber="1" containsInteger="1" minValue="4700" maxValue="7600"/>
    </cacheField>
    <cacheField name="Defeitos" numFmtId="0">
      <sharedItems containsSemiMixedTypes="0" containsString="0" containsNumber="1" containsInteger="1" minValue="1" maxValue="7"/>
    </cacheField>
    <cacheField name="Supervisor" numFmtId="0">
      <sharedItems count="3">
        <s v="Carla"/>
        <s v="João"/>
        <s v="Lucas"/>
      </sharedItems>
    </cacheField>
  </cacheFields>
  <extLst>
    <ext xmlns:x14="http://schemas.microsoft.com/office/spreadsheetml/2009/9/main" uri="{725AE2AE-9491-48be-B2B4-4EB974FC3084}">
      <x14:pivotCacheDefinition pivotCacheId="49861353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x v="0"/>
    <s v="Engrenagem A"/>
    <x v="0"/>
    <x v="0"/>
    <n v="320"/>
    <n v="15"/>
    <n v="6000"/>
    <n v="4"/>
    <x v="0"/>
  </r>
  <r>
    <x v="0"/>
    <x v="0"/>
    <s v="Eixo B"/>
    <x v="0"/>
    <x v="1"/>
    <n v="250"/>
    <n v="18"/>
    <n v="4700"/>
    <n v="3"/>
    <x v="0"/>
  </r>
  <r>
    <x v="0"/>
    <x v="1"/>
    <s v="Carcaça C"/>
    <x v="1"/>
    <x v="0"/>
    <n v="400"/>
    <n v="12"/>
    <n v="7600"/>
    <n v="7"/>
    <x v="1"/>
  </r>
  <r>
    <x v="1"/>
    <x v="1"/>
    <s v="Engrenagem A"/>
    <x v="0"/>
    <x v="1"/>
    <n v="280"/>
    <n v="15"/>
    <n v="5400"/>
    <n v="2"/>
    <x v="1"/>
  </r>
  <r>
    <x v="1"/>
    <x v="0"/>
    <s v="Tampa D"/>
    <x v="1"/>
    <x v="0"/>
    <n v="350"/>
    <n v="10"/>
    <n v="5000"/>
    <n v="5"/>
    <x v="0"/>
  </r>
  <r>
    <x v="2"/>
    <x v="2"/>
    <s v="Eixo B"/>
    <x v="0"/>
    <x v="2"/>
    <n v="270"/>
    <n v="18"/>
    <n v="4900"/>
    <n v="1"/>
    <x v="2"/>
  </r>
  <r>
    <x v="2"/>
    <x v="2"/>
    <s v="Engrenagem A"/>
    <x v="0"/>
    <x v="1"/>
    <n v="310"/>
    <n v="15"/>
    <n v="5800"/>
    <n v="6"/>
    <x v="2"/>
  </r>
  <r>
    <x v="2"/>
    <x v="1"/>
    <s v="Tampa D"/>
    <x v="1"/>
    <x v="0"/>
    <n v="420"/>
    <n v="10"/>
    <n v="6300"/>
    <n v="2"/>
    <x v="1"/>
  </r>
  <r>
    <x v="3"/>
    <x v="0"/>
    <s v="Eixo B"/>
    <x v="0"/>
    <x v="2"/>
    <n v="260"/>
    <n v="18"/>
    <n v="4800"/>
    <n v="3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x v="0"/>
    <s v="Engrenagem A"/>
    <x v="0"/>
    <n v="1"/>
    <n v="320"/>
    <n v="15"/>
    <n v="6000"/>
    <n v="4"/>
    <x v="0"/>
  </r>
  <r>
    <x v="0"/>
    <x v="0"/>
    <s v="Eixo B"/>
    <x v="0"/>
    <n v="2"/>
    <n v="250"/>
    <n v="18"/>
    <n v="4700"/>
    <n v="3"/>
    <x v="0"/>
  </r>
  <r>
    <x v="0"/>
    <x v="1"/>
    <s v="Carcaça C"/>
    <x v="1"/>
    <n v="1"/>
    <n v="400"/>
    <n v="12"/>
    <n v="7600"/>
    <n v="7"/>
    <x v="1"/>
  </r>
  <r>
    <x v="1"/>
    <x v="1"/>
    <s v="Engrenagem A"/>
    <x v="0"/>
    <n v="2"/>
    <n v="280"/>
    <n v="15"/>
    <n v="5400"/>
    <n v="2"/>
    <x v="1"/>
  </r>
  <r>
    <x v="1"/>
    <x v="0"/>
    <s v="Tampa D"/>
    <x v="1"/>
    <n v="1"/>
    <n v="350"/>
    <n v="10"/>
    <n v="5000"/>
    <n v="5"/>
    <x v="0"/>
  </r>
  <r>
    <x v="2"/>
    <x v="2"/>
    <s v="Eixo B"/>
    <x v="0"/>
    <n v="3"/>
    <n v="270"/>
    <n v="18"/>
    <n v="4900"/>
    <n v="1"/>
    <x v="2"/>
  </r>
  <r>
    <x v="2"/>
    <x v="2"/>
    <s v="Engrenagem A"/>
    <x v="0"/>
    <n v="2"/>
    <n v="310"/>
    <n v="15"/>
    <n v="5800"/>
    <n v="6"/>
    <x v="2"/>
  </r>
  <r>
    <x v="2"/>
    <x v="1"/>
    <s v="Tampa D"/>
    <x v="1"/>
    <n v="1"/>
    <n v="420"/>
    <n v="10"/>
    <n v="6300"/>
    <n v="2"/>
    <x v="1"/>
  </r>
  <r>
    <x v="3"/>
    <x v="0"/>
    <s v="Eixo B"/>
    <x v="0"/>
    <n v="3"/>
    <n v="260"/>
    <n v="18"/>
    <n v="4800"/>
    <n v="3"/>
    <x v="0"/>
  </r>
  <r>
    <x v="3"/>
    <x v="2"/>
    <s v="Carcaça C"/>
    <x v="1"/>
    <n v="2"/>
    <n v="390"/>
    <n v="12"/>
    <n v="7400"/>
    <n v="4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AE0445-6758-4784-9E6E-7F4309D1CE42}" name="Tabela dinâmica26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>
  <location ref="A3:B16" firstHeaderRow="1" firstDataRow="1" firstDataCol="1"/>
  <pivotFields count="10">
    <pivotField numFmtId="14" showAll="0"/>
    <pivotField axis="axisRow" showAll="0">
      <items count="4">
        <item x="0"/>
        <item x="1"/>
        <item x="2"/>
        <item t="default"/>
      </items>
    </pivotField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dataField="1" showAll="0"/>
    <pivotField showAll="0"/>
    <pivotField axis="axisRow" showAll="0">
      <items count="4">
        <item x="0"/>
        <item x="1"/>
        <item x="2"/>
        <item t="default"/>
      </items>
    </pivotField>
  </pivotFields>
  <rowFields count="3">
    <field x="3"/>
    <field x="9"/>
    <field x="1"/>
  </rowFields>
  <rowItems count="13">
    <i>
      <x/>
    </i>
    <i r="1">
      <x/>
    </i>
    <i r="2">
      <x/>
    </i>
    <i r="1">
      <x v="1"/>
    </i>
    <i r="2">
      <x v="1"/>
    </i>
    <i>
      <x v="1"/>
    </i>
    <i r="1">
      <x/>
    </i>
    <i r="2">
      <x/>
    </i>
    <i r="1">
      <x v="1"/>
    </i>
    <i r="2">
      <x v="1"/>
    </i>
    <i r="1">
      <x v="2"/>
    </i>
    <i r="2">
      <x v="2"/>
    </i>
    <i t="grand">
      <x/>
    </i>
  </rowItems>
  <colItems count="1">
    <i/>
  </colItems>
  <dataFields count="1">
    <dataField name="Soma de Vendas (R$)" fld="7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3B50B1-C695-4A30-8E35-0ED7427403EE}" name="Tabela dinâmica28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>
  <location ref="A3:B16" firstHeaderRow="1" firstDataRow="1" firstDataCol="1"/>
  <pivotFields count="10">
    <pivotField axis="axisRow" numFmtId="14" showAll="0">
      <items count="5">
        <item x="0"/>
        <item x="1"/>
        <item x="2"/>
        <item x="3"/>
        <item t="default"/>
      </items>
    </pivotField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showAll="0"/>
    <pivotField showAll="0"/>
    <pivotField showAll="0"/>
  </pivotFields>
  <rowFields count="2">
    <field x="0"/>
    <field x="4"/>
  </rowFields>
  <rowItems count="13">
    <i>
      <x/>
    </i>
    <i r="1">
      <x/>
    </i>
    <i r="1">
      <x v="1"/>
    </i>
    <i>
      <x v="1"/>
    </i>
    <i r="1">
      <x/>
    </i>
    <i r="1">
      <x v="1"/>
    </i>
    <i>
      <x v="2"/>
    </i>
    <i r="1">
      <x/>
    </i>
    <i r="1">
      <x v="1"/>
    </i>
    <i r="1">
      <x v="2"/>
    </i>
    <i>
      <x v="3"/>
    </i>
    <i r="1">
      <x v="2"/>
    </i>
    <i t="grand">
      <x/>
    </i>
  </rowItems>
  <colItems count="1">
    <i/>
  </colItems>
  <dataFields count="1">
    <dataField name="Soma de Quantidade Produzida" fld="5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6D93BD-E347-46D2-8622-7850873550E9}" name="Tabela dinâmica31" cacheId="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A3:B7" firstHeaderRow="1" firstDataRow="1" firstDataCol="1"/>
  <pivotFields count="10">
    <pivotField numFmtId="14" showAll="0">
      <items count="5">
        <item x="0"/>
        <item x="1"/>
        <item x="2"/>
        <item x="3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showAll="0">
      <items count="3">
        <item x="1"/>
        <item x="0"/>
        <item t="default"/>
      </items>
    </pivotField>
    <pivotField showAll="0"/>
    <pivotField showAll="0"/>
    <pivotField showAll="0"/>
    <pivotField dataField="1" showAll="0"/>
    <pivotField showAll="0"/>
    <pivotField showAll="0">
      <items count="4">
        <item x="0"/>
        <item x="1"/>
        <item x="2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Vendas (R$)" fld="7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17DCC6-3D17-4C1E-8E2E-67B721D57495}" name="Tabela dinâmica2" cacheId="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3:B8" firstHeaderRow="1" firstDataRow="1" firstDataCol="1"/>
  <pivotFields count="10">
    <pivotField axis="axisRow" numFmtId="14" showAll="0">
      <items count="5">
        <item x="0"/>
        <item x="1"/>
        <item x="2"/>
        <item x="3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>
      <items count="4">
        <item x="0"/>
        <item x="1"/>
        <item x="2"/>
        <item t="default"/>
      </items>
    </pivotField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a de Quantidade Produzida" fld="5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F7DD84-E28D-466D-BB6B-0DDCB88931D7}" name="Tabela dinâmica3" cacheId="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3:B6" firstHeaderRow="1" firstDataRow="1" firstDataCol="1"/>
  <pivotFields count="10">
    <pivotField numFmtId="14" showAll="0">
      <items count="5">
        <item x="0"/>
        <item x="1"/>
        <item x="2"/>
        <item x="3"/>
        <item t="default"/>
      </items>
    </pivotField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dataField="1" showAll="0"/>
    <pivotField showAll="0"/>
    <pivotField showAll="0">
      <items count="4">
        <item x="0"/>
        <item x="1"/>
        <item x="2"/>
        <item t="default"/>
      </items>
    </pivotField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Soma de Vendas (R$)" fld="7" baseField="0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4" format="6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ábrica" xr10:uid="{0423C60B-1B84-485E-B4FE-533AA12E8291}" sourceName="Fábrica">
  <pivotTables>
    <pivotTable tabId="4" name="Tabela dinâmica26"/>
  </pivotTables>
  <data>
    <tabular pivotCacheId="1914812205">
      <items count="3">
        <i x="0" s="1"/>
        <i x="1" s="1"/>
        <i x="2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upervisor" xr10:uid="{14C0FCEE-8CAC-4FEB-834E-98CFAEDDB199}" sourceName="Supervisor">
  <pivotTables>
    <pivotTable tabId="4" name="Tabela dinâmica26"/>
  </pivotTables>
  <data>
    <tabular pivotCacheId="1914812205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ata" xr10:uid="{E95A0E6E-B6C2-4B56-8C8D-8093B21BD669}" sourceName="Data">
  <pivotTables>
    <pivotTable tabId="6" name="Tabela dinâmica28"/>
  </pivotTables>
  <data>
    <tabular pivotCacheId="1914812205">
      <items count="4">
        <i x="0" s="1"/>
        <i x="1" s="1"/>
        <i x="2" s="1"/>
        <i x="3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ata1" xr10:uid="{3928FCB6-7671-486C-8B6D-959B83D0F8EA}" sourceName="Data">
  <pivotTables>
    <pivotTable tabId="7" name="Tabela dinâmica31"/>
    <pivotTable tabId="8" name="Tabela dinâmica2"/>
    <pivotTable tabId="9" name="Tabela dinâmica3"/>
  </pivotTables>
  <data>
    <tabular pivotCacheId="498613532">
      <items count="4">
        <i x="0" s="1"/>
        <i x="1" s="1"/>
        <i x="2" s="1"/>
        <i x="3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upervisor1" xr10:uid="{BDB277A9-2A8F-4390-B0E3-A9B2F3F1483D}" sourceName="Supervisor">
  <pivotTables>
    <pivotTable tabId="7" name="Tabela dinâmica31"/>
    <pivotTable tabId="8" name="Tabela dinâmica2"/>
    <pivotTable tabId="9" name="Tabela dinâmica3"/>
  </pivotTables>
  <data>
    <tabular pivotCacheId="498613532">
      <items count="3">
        <i x="0" s="1"/>
        <i x="1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ábrica" xr10:uid="{76DB1CD9-A5BB-4E17-924E-0A2001407FA7}" cache="SegmentaçãodeDados_Fábrica" caption="Fábrica" rowHeight="241300"/>
  <slicer name="Supervisor" xr10:uid="{F245603B-E9F4-4F78-995B-2DDA3D5E1C00}" cache="SegmentaçãodeDados_Supervisor" caption="Supervisor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ata" xr10:uid="{F2EC61CA-FD12-4FD8-9441-AA9B5FA25391}" cache="SegmentaçãodeDados_Data" caption="Data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ata 1" xr10:uid="{95E9ACDD-3549-4034-9521-34683D58864D}" cache="SegmentaçãodeDados_Data1" caption="Data" rowHeight="241300"/>
  <slicer name="Supervisor 1" xr10:uid="{5DF54D85-2845-4955-A771-7E47BF82341B}" cache="SegmentaçãodeDados_Supervisor1" caption="Supervisor" rowHeight="2413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ata 2" xr10:uid="{5E91F9C0-800B-41D1-AC88-144A9DB8B40B}" cache="SegmentaçãodeDados_Data1" caption="Data" rowHeight="241300"/>
  <slicer name="Supervisor 2" xr10:uid="{64220058-727E-48F0-8A78-4BE83D9D95A5}" cache="SegmentaçãodeDados_Supervisor1" caption="Supervisor" rowHeight="24130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07/relationships/slicer" Target="../slicers/slicer3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5.xml"/></Relationships>
</file>

<file path=xl/worksheets/_rels/sheet9.xml.rels><?xml version="1.0" encoding="UTF-8" standalone="yes"?>
<Relationships xmlns="http://schemas.openxmlformats.org/package/2006/relationships"><Relationship Id="rId2" Type="http://schemas.microsoft.com/office/2007/relationships/slicer" Target="../slicers/slicer4.x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AC2DC-7B74-4E6B-8200-07B10E74DE0F}">
  <sheetPr codeName="Planilha1"/>
  <dimension ref="A1:O28"/>
  <sheetViews>
    <sheetView tabSelected="1" topLeftCell="A11" workbookViewId="0">
      <selection activeCell="B25" sqref="B25"/>
    </sheetView>
  </sheetViews>
  <sheetFormatPr defaultRowHeight="15" x14ac:dyDescent="0.25"/>
  <sheetData>
    <row r="1" spans="1:4" x14ac:dyDescent="0.25">
      <c r="A1" t="s">
        <v>0</v>
      </c>
      <c r="B1">
        <v>2022</v>
      </c>
      <c r="C1">
        <v>2023</v>
      </c>
      <c r="D1">
        <v>2024</v>
      </c>
    </row>
    <row r="2" spans="1:4" x14ac:dyDescent="0.25">
      <c r="A2" t="s">
        <v>1</v>
      </c>
      <c r="B2">
        <v>3630</v>
      </c>
      <c r="C2">
        <v>2529</v>
      </c>
      <c r="D2">
        <v>3108</v>
      </c>
    </row>
    <row r="3" spans="1:4" x14ac:dyDescent="0.25">
      <c r="A3" t="s">
        <v>2</v>
      </c>
      <c r="B3">
        <v>2780</v>
      </c>
      <c r="C3">
        <v>2528</v>
      </c>
      <c r="D3">
        <v>2410</v>
      </c>
    </row>
    <row r="4" spans="1:4" x14ac:dyDescent="0.25">
      <c r="A4" t="s">
        <v>3</v>
      </c>
      <c r="B4">
        <v>2375</v>
      </c>
      <c r="C4">
        <v>3596</v>
      </c>
      <c r="D4">
        <v>3830</v>
      </c>
    </row>
    <row r="5" spans="1:4" x14ac:dyDescent="0.25">
      <c r="A5" t="s">
        <v>4</v>
      </c>
      <c r="B5">
        <v>2280</v>
      </c>
      <c r="C5">
        <v>3635</v>
      </c>
      <c r="D5">
        <v>3019</v>
      </c>
    </row>
    <row r="6" spans="1:4" x14ac:dyDescent="0.25">
      <c r="A6" t="s">
        <v>5</v>
      </c>
      <c r="B6">
        <v>2752</v>
      </c>
      <c r="C6">
        <v>3746</v>
      </c>
      <c r="D6">
        <v>2427</v>
      </c>
    </row>
    <row r="15" spans="1:4" x14ac:dyDescent="0.25">
      <c r="A15" t="s">
        <v>0</v>
      </c>
      <c r="B15">
        <v>2022</v>
      </c>
      <c r="C15" t="s">
        <v>6</v>
      </c>
    </row>
    <row r="16" spans="1:4" x14ac:dyDescent="0.25">
      <c r="A16" t="s">
        <v>1</v>
      </c>
      <c r="B16">
        <v>3630</v>
      </c>
      <c r="C16">
        <f>AVERAGE($B$16:$B$20)</f>
        <v>2763.4</v>
      </c>
    </row>
    <row r="17" spans="1:15" x14ac:dyDescent="0.25">
      <c r="A17" t="s">
        <v>2</v>
      </c>
      <c r="B17">
        <v>2780</v>
      </c>
      <c r="C17">
        <f t="shared" ref="C17:C20" si="0">AVERAGE($B$16:$B$20)</f>
        <v>2763.4</v>
      </c>
    </row>
    <row r="18" spans="1:15" x14ac:dyDescent="0.25">
      <c r="A18" t="s">
        <v>3</v>
      </c>
      <c r="B18">
        <v>2375</v>
      </c>
      <c r="C18">
        <f t="shared" si="0"/>
        <v>2763.4</v>
      </c>
    </row>
    <row r="19" spans="1:15" x14ac:dyDescent="0.25">
      <c r="A19" t="s">
        <v>4</v>
      </c>
      <c r="B19">
        <v>2280</v>
      </c>
      <c r="C19">
        <f t="shared" si="0"/>
        <v>2763.4</v>
      </c>
    </row>
    <row r="20" spans="1:15" x14ac:dyDescent="0.25">
      <c r="A20" t="s">
        <v>5</v>
      </c>
      <c r="B20">
        <v>2752</v>
      </c>
      <c r="C20">
        <f t="shared" si="0"/>
        <v>2763.4</v>
      </c>
    </row>
    <row r="23" spans="1:15" x14ac:dyDescent="0.25">
      <c r="A23" t="s">
        <v>0</v>
      </c>
      <c r="B23">
        <f>INDEX(N24:N26,O24)</f>
        <v>2022</v>
      </c>
      <c r="C23" t="s">
        <v>6</v>
      </c>
    </row>
    <row r="24" spans="1:15" x14ac:dyDescent="0.25">
      <c r="A24" t="s">
        <v>1</v>
      </c>
      <c r="B24">
        <f>HLOOKUP($B$23,$B$1:$D$6,ROW(A2),0)</f>
        <v>3630</v>
      </c>
      <c r="C24">
        <f>AVERAGE($B$24:$B$28)</f>
        <v>2763.4</v>
      </c>
      <c r="N24" s="1">
        <v>2022</v>
      </c>
      <c r="O24">
        <v>1</v>
      </c>
    </row>
    <row r="25" spans="1:15" x14ac:dyDescent="0.25">
      <c r="A25" t="s">
        <v>2</v>
      </c>
      <c r="B25">
        <f t="shared" ref="B25:B28" si="1">HLOOKUP($B$23,$B$1:$D$6,ROW(A3),0)</f>
        <v>2780</v>
      </c>
      <c r="C25">
        <f t="shared" ref="C25:C28" si="2">AVERAGE($B$24:$B$28)</f>
        <v>2763.4</v>
      </c>
      <c r="N25" s="1">
        <v>2023</v>
      </c>
    </row>
    <row r="26" spans="1:15" x14ac:dyDescent="0.25">
      <c r="A26" t="s">
        <v>3</v>
      </c>
      <c r="B26">
        <f t="shared" si="1"/>
        <v>2375</v>
      </c>
      <c r="C26">
        <f t="shared" si="2"/>
        <v>2763.4</v>
      </c>
      <c r="N26" s="1">
        <v>2024</v>
      </c>
    </row>
    <row r="27" spans="1:15" x14ac:dyDescent="0.25">
      <c r="A27" t="s">
        <v>4</v>
      </c>
      <c r="B27">
        <f t="shared" si="1"/>
        <v>2280</v>
      </c>
      <c r="C27">
        <f t="shared" si="2"/>
        <v>2763.4</v>
      </c>
    </row>
    <row r="28" spans="1:15" x14ac:dyDescent="0.25">
      <c r="A28" t="s">
        <v>5</v>
      </c>
      <c r="B28">
        <f t="shared" si="1"/>
        <v>2752</v>
      </c>
      <c r="C28">
        <f t="shared" si="2"/>
        <v>2763.4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Drop Down 2">
              <controlPr defaultSize="0" autoLine="0" autoPict="0">
                <anchor moveWithCells="1">
                  <from>
                    <xdr:col>10</xdr:col>
                    <xdr:colOff>285750</xdr:colOff>
                    <xdr:row>22</xdr:row>
                    <xdr:rowOff>19050</xdr:rowOff>
                  </from>
                  <to>
                    <xdr:col>11</xdr:col>
                    <xdr:colOff>533400</xdr:colOff>
                    <xdr:row>23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ABD56-0C4D-453C-8A69-3A925538EC92}">
  <dimension ref="A1:N11"/>
  <sheetViews>
    <sheetView topLeftCell="B1" workbookViewId="0">
      <selection activeCell="N5" sqref="N5"/>
    </sheetView>
  </sheetViews>
  <sheetFormatPr defaultRowHeight="15" x14ac:dyDescent="0.25"/>
  <cols>
    <col min="1" max="10" width="13.85546875" customWidth="1"/>
    <col min="13" max="13" width="14.42578125" bestFit="1" customWidth="1"/>
  </cols>
  <sheetData>
    <row r="1" spans="1:14" ht="30" x14ac:dyDescent="0.25">
      <c r="A1" s="2" t="s">
        <v>7</v>
      </c>
      <c r="B1" s="2" t="s">
        <v>8</v>
      </c>
      <c r="C1" s="2" t="s">
        <v>9</v>
      </c>
      <c r="D1" s="2" t="s">
        <v>10</v>
      </c>
      <c r="E1" s="2" t="s">
        <v>11</v>
      </c>
      <c r="F1" s="2" t="s">
        <v>12</v>
      </c>
      <c r="G1" s="2" t="s">
        <v>13</v>
      </c>
      <c r="H1" s="2" t="s">
        <v>14</v>
      </c>
      <c r="I1" s="2" t="s">
        <v>15</v>
      </c>
      <c r="J1" s="2" t="s">
        <v>16</v>
      </c>
    </row>
    <row r="2" spans="1:14" x14ac:dyDescent="0.25">
      <c r="A2" s="3">
        <v>45658</v>
      </c>
      <c r="B2" s="4" t="s">
        <v>17</v>
      </c>
      <c r="C2" s="4" t="s">
        <v>18</v>
      </c>
      <c r="D2" s="4" t="s">
        <v>19</v>
      </c>
      <c r="E2" s="4">
        <v>1</v>
      </c>
      <c r="F2" s="4">
        <v>320</v>
      </c>
      <c r="G2" s="4">
        <v>15</v>
      </c>
      <c r="H2" s="4">
        <v>6000</v>
      </c>
      <c r="I2" s="4">
        <v>4</v>
      </c>
      <c r="J2" s="4" t="s">
        <v>20</v>
      </c>
      <c r="M2" t="s">
        <v>52</v>
      </c>
      <c r="N2">
        <v>4063</v>
      </c>
    </row>
    <row r="3" spans="1:14" x14ac:dyDescent="0.25">
      <c r="A3" s="3">
        <v>45658</v>
      </c>
      <c r="B3" s="4" t="s">
        <v>17</v>
      </c>
      <c r="C3" s="4" t="s">
        <v>21</v>
      </c>
      <c r="D3" s="4" t="s">
        <v>19</v>
      </c>
      <c r="E3" s="4">
        <v>2</v>
      </c>
      <c r="F3" s="4">
        <v>250</v>
      </c>
      <c r="G3" s="4">
        <v>18</v>
      </c>
      <c r="H3" s="4">
        <v>4700</v>
      </c>
      <c r="I3" s="4">
        <v>3</v>
      </c>
      <c r="J3" s="4" t="s">
        <v>20</v>
      </c>
      <c r="M3" t="s">
        <v>53</v>
      </c>
      <c r="N3">
        <v>72375</v>
      </c>
    </row>
    <row r="4" spans="1:14" x14ac:dyDescent="0.25">
      <c r="A4" s="3">
        <v>45658</v>
      </c>
      <c r="B4" s="4" t="s">
        <v>22</v>
      </c>
      <c r="C4" s="4" t="s">
        <v>23</v>
      </c>
      <c r="D4" s="4" t="s">
        <v>24</v>
      </c>
      <c r="E4" s="4">
        <v>1</v>
      </c>
      <c r="F4" s="4">
        <v>400</v>
      </c>
      <c r="G4" s="4">
        <v>12</v>
      </c>
      <c r="H4" s="4">
        <v>7600</v>
      </c>
      <c r="I4" s="4">
        <v>7</v>
      </c>
      <c r="J4" s="4" t="s">
        <v>25</v>
      </c>
    </row>
    <row r="5" spans="1:14" x14ac:dyDescent="0.25">
      <c r="A5" s="3">
        <v>45659</v>
      </c>
      <c r="B5" s="4" t="s">
        <v>22</v>
      </c>
      <c r="C5" s="4" t="s">
        <v>18</v>
      </c>
      <c r="D5" s="4" t="s">
        <v>19</v>
      </c>
      <c r="E5" s="4">
        <v>2</v>
      </c>
      <c r="F5" s="4">
        <v>280</v>
      </c>
      <c r="G5" s="4">
        <v>15</v>
      </c>
      <c r="H5" s="4">
        <v>5400</v>
      </c>
      <c r="I5" s="4">
        <v>2</v>
      </c>
      <c r="J5" s="4" t="s">
        <v>25</v>
      </c>
    </row>
    <row r="6" spans="1:14" ht="30" x14ac:dyDescent="0.25">
      <c r="A6" s="3">
        <v>45659</v>
      </c>
      <c r="B6" s="4" t="s">
        <v>17</v>
      </c>
      <c r="C6" s="4" t="s">
        <v>26</v>
      </c>
      <c r="D6" s="4" t="s">
        <v>24</v>
      </c>
      <c r="E6" s="4">
        <v>1</v>
      </c>
      <c r="F6" s="4">
        <v>350</v>
      </c>
      <c r="G6" s="4">
        <v>10</v>
      </c>
      <c r="H6" s="4">
        <v>5000</v>
      </c>
      <c r="I6" s="4">
        <v>5</v>
      </c>
      <c r="J6" s="4" t="s">
        <v>20</v>
      </c>
    </row>
    <row r="7" spans="1:14" x14ac:dyDescent="0.25">
      <c r="A7" s="3">
        <v>45660</v>
      </c>
      <c r="B7" s="4" t="s">
        <v>27</v>
      </c>
      <c r="C7" s="4" t="s">
        <v>21</v>
      </c>
      <c r="D7" s="4" t="s">
        <v>19</v>
      </c>
      <c r="E7" s="4">
        <v>3</v>
      </c>
      <c r="F7" s="4">
        <v>270</v>
      </c>
      <c r="G7" s="4">
        <v>18</v>
      </c>
      <c r="H7" s="4">
        <v>4900</v>
      </c>
      <c r="I7" s="4">
        <v>1</v>
      </c>
      <c r="J7" s="4" t="s">
        <v>28</v>
      </c>
    </row>
    <row r="8" spans="1:14" x14ac:dyDescent="0.25">
      <c r="A8" s="3">
        <v>45660</v>
      </c>
      <c r="B8" s="4" t="s">
        <v>27</v>
      </c>
      <c r="C8" s="4" t="s">
        <v>18</v>
      </c>
      <c r="D8" s="4" t="s">
        <v>19</v>
      </c>
      <c r="E8" s="4">
        <v>2</v>
      </c>
      <c r="F8" s="4">
        <v>310</v>
      </c>
      <c r="G8" s="4">
        <v>15</v>
      </c>
      <c r="H8" s="4">
        <v>5800</v>
      </c>
      <c r="I8" s="4">
        <v>6</v>
      </c>
      <c r="J8" s="4" t="s">
        <v>28</v>
      </c>
    </row>
    <row r="9" spans="1:14" x14ac:dyDescent="0.25">
      <c r="A9" s="3">
        <v>45660</v>
      </c>
      <c r="B9" s="4" t="s">
        <v>22</v>
      </c>
      <c r="C9" s="4" t="s">
        <v>26</v>
      </c>
      <c r="D9" s="4" t="s">
        <v>24</v>
      </c>
      <c r="E9" s="4">
        <v>1</v>
      </c>
      <c r="F9" s="4">
        <v>420</v>
      </c>
      <c r="G9" s="4">
        <v>10</v>
      </c>
      <c r="H9" s="4">
        <v>6300</v>
      </c>
      <c r="I9" s="4">
        <v>2</v>
      </c>
      <c r="J9" s="4" t="s">
        <v>25</v>
      </c>
    </row>
    <row r="10" spans="1:14" x14ac:dyDescent="0.25">
      <c r="A10" s="3">
        <v>45661</v>
      </c>
      <c r="B10" s="4" t="s">
        <v>17</v>
      </c>
      <c r="C10" s="4" t="s">
        <v>21</v>
      </c>
      <c r="D10" s="4" t="s">
        <v>19</v>
      </c>
      <c r="E10" s="4">
        <v>3</v>
      </c>
      <c r="F10" s="4">
        <v>260</v>
      </c>
      <c r="G10" s="4">
        <v>18</v>
      </c>
      <c r="H10" s="4">
        <v>4800</v>
      </c>
      <c r="I10" s="4">
        <v>3</v>
      </c>
      <c r="J10" s="4" t="s">
        <v>20</v>
      </c>
    </row>
    <row r="11" spans="1:14" x14ac:dyDescent="0.25">
      <c r="A11" s="3">
        <v>45661</v>
      </c>
      <c r="B11" s="4" t="s">
        <v>27</v>
      </c>
      <c r="C11" s="4" t="s">
        <v>23</v>
      </c>
      <c r="D11" s="4" t="s">
        <v>24</v>
      </c>
      <c r="E11" s="4">
        <v>2</v>
      </c>
      <c r="F11" s="4">
        <v>390</v>
      </c>
      <c r="G11" s="4">
        <v>12</v>
      </c>
      <c r="H11" s="4">
        <v>7400</v>
      </c>
      <c r="I11" s="4">
        <v>4</v>
      </c>
      <c r="J11" s="4" t="s">
        <v>28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CE0EF-4E00-425B-9678-DBF453600C36}">
  <dimension ref="A1:D106"/>
  <sheetViews>
    <sheetView topLeftCell="A46" workbookViewId="0">
      <selection activeCell="D27" sqref="D27"/>
    </sheetView>
  </sheetViews>
  <sheetFormatPr defaultRowHeight="15" x14ac:dyDescent="0.25"/>
  <cols>
    <col min="1" max="1" width="15" customWidth="1"/>
    <col min="2" max="2" width="21" bestFit="1" customWidth="1"/>
    <col min="3" max="3" width="12.5703125" customWidth="1"/>
    <col min="4" max="4" width="12.42578125" bestFit="1" customWidth="1"/>
  </cols>
  <sheetData>
    <row r="1" spans="1:3" x14ac:dyDescent="0.25">
      <c r="A1">
        <v>1</v>
      </c>
    </row>
    <row r="2" spans="1:3" ht="15" customHeight="1" x14ac:dyDescent="0.25">
      <c r="A2" s="2" t="s">
        <v>7</v>
      </c>
      <c r="B2" s="2" t="s">
        <v>12</v>
      </c>
      <c r="C2" s="2" t="s">
        <v>15</v>
      </c>
    </row>
    <row r="3" spans="1:3" x14ac:dyDescent="0.25">
      <c r="A3" s="3">
        <v>45658</v>
      </c>
      <c r="B3" s="4">
        <v>320</v>
      </c>
      <c r="C3" s="4">
        <v>4</v>
      </c>
    </row>
    <row r="4" spans="1:3" x14ac:dyDescent="0.25">
      <c r="A4" s="3">
        <v>45658</v>
      </c>
      <c r="B4" s="4">
        <v>250</v>
      </c>
      <c r="C4" s="4">
        <v>3</v>
      </c>
    </row>
    <row r="5" spans="1:3" x14ac:dyDescent="0.25">
      <c r="A5" s="3">
        <v>45658</v>
      </c>
      <c r="B5" s="4">
        <v>400</v>
      </c>
      <c r="C5" s="4">
        <v>7</v>
      </c>
    </row>
    <row r="6" spans="1:3" x14ac:dyDescent="0.25">
      <c r="A6" s="3">
        <v>45659</v>
      </c>
      <c r="B6" s="4">
        <v>280</v>
      </c>
      <c r="C6" s="4">
        <v>2</v>
      </c>
    </row>
    <row r="7" spans="1:3" x14ac:dyDescent="0.25">
      <c r="A7" s="3">
        <v>45659</v>
      </c>
      <c r="B7" s="4">
        <v>350</v>
      </c>
      <c r="C7" s="4">
        <v>5</v>
      </c>
    </row>
    <row r="8" spans="1:3" x14ac:dyDescent="0.25">
      <c r="A8" s="3">
        <v>45660</v>
      </c>
      <c r="B8" s="4">
        <v>270</v>
      </c>
      <c r="C8" s="4">
        <v>1</v>
      </c>
    </row>
    <row r="9" spans="1:3" x14ac:dyDescent="0.25">
      <c r="A9" s="3">
        <v>45660</v>
      </c>
      <c r="B9" s="4">
        <v>310</v>
      </c>
      <c r="C9" s="4">
        <v>6</v>
      </c>
    </row>
    <row r="10" spans="1:3" x14ac:dyDescent="0.25">
      <c r="A10" s="3">
        <v>45660</v>
      </c>
      <c r="B10" s="4">
        <v>420</v>
      </c>
      <c r="C10" s="4">
        <v>2</v>
      </c>
    </row>
    <row r="11" spans="1:3" x14ac:dyDescent="0.25">
      <c r="A11" s="3">
        <v>45661</v>
      </c>
      <c r="B11" s="4">
        <v>260</v>
      </c>
      <c r="C11" s="4">
        <v>3</v>
      </c>
    </row>
    <row r="12" spans="1:3" x14ac:dyDescent="0.25">
      <c r="A12" s="3">
        <v>45661</v>
      </c>
      <c r="B12" s="4">
        <v>390</v>
      </c>
      <c r="C12" s="4">
        <v>4</v>
      </c>
    </row>
    <row r="14" spans="1:3" x14ac:dyDescent="0.25">
      <c r="A14" s="2" t="s">
        <v>7</v>
      </c>
      <c r="B14" s="2" t="s">
        <v>12</v>
      </c>
      <c r="C14" s="2" t="s">
        <v>15</v>
      </c>
    </row>
    <row r="15" spans="1:3" x14ac:dyDescent="0.25">
      <c r="A15" s="3">
        <v>45658</v>
      </c>
      <c r="B15">
        <f>SUMIF($A$3:$A$12,A15,$B$3:$B$12)</f>
        <v>970</v>
      </c>
      <c r="C15">
        <f>SUMIF($A$3:$A$12,A15,$C$3:$C$12)</f>
        <v>14</v>
      </c>
    </row>
    <row r="16" spans="1:3" x14ac:dyDescent="0.25">
      <c r="A16" s="3">
        <v>45659</v>
      </c>
      <c r="B16">
        <f>SUMIF($A$3:$A$12,A16,$B$3:$B$12)</f>
        <v>630</v>
      </c>
      <c r="C16">
        <f t="shared" ref="C16:C18" si="0">SUMIF($A$3:$A$12,A16,$C$3:$C$12)</f>
        <v>7</v>
      </c>
    </row>
    <row r="17" spans="1:3" x14ac:dyDescent="0.25">
      <c r="A17" s="3">
        <v>45660</v>
      </c>
      <c r="B17">
        <f>SUMIF($A$3:$A$12,A17,$B$3:$B$12)</f>
        <v>1000</v>
      </c>
      <c r="C17">
        <f t="shared" si="0"/>
        <v>9</v>
      </c>
    </row>
    <row r="18" spans="1:3" x14ac:dyDescent="0.25">
      <c r="A18" s="3">
        <v>45661</v>
      </c>
      <c r="B18">
        <f>SUMIF($A$3:$A$12,A18,$B$3:$B$12)</f>
        <v>650</v>
      </c>
      <c r="C18">
        <f t="shared" si="0"/>
        <v>7</v>
      </c>
    </row>
    <row r="20" spans="1:3" x14ac:dyDescent="0.25">
      <c r="A20" t="s">
        <v>29</v>
      </c>
      <c r="B20" t="s">
        <v>30</v>
      </c>
    </row>
    <row r="22" spans="1:3" x14ac:dyDescent="0.25">
      <c r="A22">
        <v>2</v>
      </c>
    </row>
    <row r="23" spans="1:3" x14ac:dyDescent="0.25">
      <c r="A23" s="2" t="s">
        <v>9</v>
      </c>
      <c r="B23" s="2" t="s">
        <v>15</v>
      </c>
    </row>
    <row r="24" spans="1:3" x14ac:dyDescent="0.25">
      <c r="A24" s="4" t="s">
        <v>18</v>
      </c>
      <c r="B24" s="4">
        <v>4</v>
      </c>
    </row>
    <row r="25" spans="1:3" x14ac:dyDescent="0.25">
      <c r="A25" s="4" t="s">
        <v>21</v>
      </c>
      <c r="B25" s="4">
        <v>3</v>
      </c>
    </row>
    <row r="26" spans="1:3" x14ac:dyDescent="0.25">
      <c r="A26" s="4" t="s">
        <v>23</v>
      </c>
      <c r="B26" s="4">
        <v>7</v>
      </c>
    </row>
    <row r="27" spans="1:3" x14ac:dyDescent="0.25">
      <c r="A27" s="4" t="s">
        <v>18</v>
      </c>
      <c r="B27" s="4">
        <v>2</v>
      </c>
    </row>
    <row r="28" spans="1:3" x14ac:dyDescent="0.25">
      <c r="A28" s="4" t="s">
        <v>26</v>
      </c>
      <c r="B28" s="4">
        <v>5</v>
      </c>
    </row>
    <row r="29" spans="1:3" x14ac:dyDescent="0.25">
      <c r="A29" s="4" t="s">
        <v>21</v>
      </c>
      <c r="B29" s="4">
        <v>1</v>
      </c>
    </row>
    <row r="30" spans="1:3" x14ac:dyDescent="0.25">
      <c r="A30" s="4" t="s">
        <v>18</v>
      </c>
      <c r="B30" s="4">
        <v>6</v>
      </c>
    </row>
    <row r="31" spans="1:3" x14ac:dyDescent="0.25">
      <c r="A31" s="4" t="s">
        <v>26</v>
      </c>
      <c r="B31" s="4">
        <v>2</v>
      </c>
    </row>
    <row r="32" spans="1:3" x14ac:dyDescent="0.25">
      <c r="A32" s="4" t="s">
        <v>21</v>
      </c>
      <c r="B32" s="4">
        <v>3</v>
      </c>
    </row>
    <row r="33" spans="1:4" x14ac:dyDescent="0.25">
      <c r="A33" s="4" t="s">
        <v>23</v>
      </c>
      <c r="B33" s="4">
        <v>4</v>
      </c>
    </row>
    <row r="35" spans="1:4" x14ac:dyDescent="0.25">
      <c r="A35" s="2" t="s">
        <v>9</v>
      </c>
      <c r="B35" s="2" t="s">
        <v>15</v>
      </c>
      <c r="C35" t="s">
        <v>31</v>
      </c>
      <c r="D35" t="s">
        <v>32</v>
      </c>
    </row>
    <row r="36" spans="1:4" x14ac:dyDescent="0.25">
      <c r="A36" s="4" t="s">
        <v>18</v>
      </c>
      <c r="B36">
        <f>SUMIF($A$24:$A$33,A36,$B$24:$B$33)</f>
        <v>12</v>
      </c>
      <c r="C36" s="5">
        <f>SUM(B$36:B36)/$B$40</f>
        <v>0.32432432432432434</v>
      </c>
      <c r="D36" s="5">
        <f>(B36/$B$40)</f>
        <v>0.32432432432432434</v>
      </c>
    </row>
    <row r="37" spans="1:4" x14ac:dyDescent="0.25">
      <c r="A37" s="4" t="s">
        <v>23</v>
      </c>
      <c r="B37">
        <f t="shared" ref="B37:B39" si="1">SUMIF($A$24:$A$33,A37,$B$24:$B$33)</f>
        <v>11</v>
      </c>
      <c r="C37" s="5">
        <f>SUM(B$36:B37)/$B$40</f>
        <v>0.6216216216216216</v>
      </c>
      <c r="D37" s="5">
        <f>(B37/$B$40)</f>
        <v>0.29729729729729731</v>
      </c>
    </row>
    <row r="38" spans="1:4" x14ac:dyDescent="0.25">
      <c r="A38" s="4" t="s">
        <v>21</v>
      </c>
      <c r="B38">
        <f t="shared" si="1"/>
        <v>7</v>
      </c>
      <c r="C38" s="5">
        <f>SUM(B$36:B38)/$B$40</f>
        <v>0.81081081081081086</v>
      </c>
      <c r="D38" s="5">
        <f>(B38/$B$40)</f>
        <v>0.1891891891891892</v>
      </c>
    </row>
    <row r="39" spans="1:4" x14ac:dyDescent="0.25">
      <c r="A39" s="4" t="s">
        <v>26</v>
      </c>
      <c r="B39">
        <f t="shared" si="1"/>
        <v>7</v>
      </c>
      <c r="C39" s="5">
        <f>SUM(B$36:B39)/$B$40</f>
        <v>1</v>
      </c>
      <c r="D39" s="5">
        <f>(B39/$B$40)</f>
        <v>0.1891891891891892</v>
      </c>
    </row>
    <row r="40" spans="1:4" x14ac:dyDescent="0.25">
      <c r="B40">
        <f>SUM(B36:B39)</f>
        <v>37</v>
      </c>
    </row>
    <row r="42" spans="1:4" x14ac:dyDescent="0.25">
      <c r="A42" t="s">
        <v>29</v>
      </c>
      <c r="B42" t="s">
        <v>33</v>
      </c>
    </row>
    <row r="44" spans="1:4" x14ac:dyDescent="0.25">
      <c r="A44">
        <v>3</v>
      </c>
    </row>
    <row r="45" spans="1:4" ht="15" customHeight="1" x14ac:dyDescent="0.25">
      <c r="A45" s="2" t="s">
        <v>9</v>
      </c>
      <c r="B45" s="2" t="s">
        <v>12</v>
      </c>
      <c r="C45" s="2" t="s">
        <v>14</v>
      </c>
    </row>
    <row r="46" spans="1:4" x14ac:dyDescent="0.25">
      <c r="A46" s="4" t="s">
        <v>18</v>
      </c>
      <c r="B46" s="4">
        <v>320</v>
      </c>
      <c r="C46" s="4">
        <v>6000</v>
      </c>
    </row>
    <row r="47" spans="1:4" x14ac:dyDescent="0.25">
      <c r="A47" s="4" t="s">
        <v>21</v>
      </c>
      <c r="B47" s="4">
        <v>250</v>
      </c>
      <c r="C47" s="4">
        <v>4700</v>
      </c>
    </row>
    <row r="48" spans="1:4" x14ac:dyDescent="0.25">
      <c r="A48" s="4" t="s">
        <v>23</v>
      </c>
      <c r="B48" s="4">
        <v>400</v>
      </c>
      <c r="C48" s="4">
        <v>7600</v>
      </c>
    </row>
    <row r="49" spans="1:4" x14ac:dyDescent="0.25">
      <c r="A49" s="4" t="s">
        <v>18</v>
      </c>
      <c r="B49" s="4">
        <v>280</v>
      </c>
      <c r="C49" s="4">
        <v>5400</v>
      </c>
    </row>
    <row r="50" spans="1:4" x14ac:dyDescent="0.25">
      <c r="A50" s="4" t="s">
        <v>26</v>
      </c>
      <c r="B50" s="4">
        <v>350</v>
      </c>
      <c r="C50" s="4">
        <v>5000</v>
      </c>
    </row>
    <row r="51" spans="1:4" x14ac:dyDescent="0.25">
      <c r="A51" s="4" t="s">
        <v>21</v>
      </c>
      <c r="B51" s="4">
        <v>270</v>
      </c>
      <c r="C51" s="4">
        <v>4900</v>
      </c>
    </row>
    <row r="52" spans="1:4" x14ac:dyDescent="0.25">
      <c r="A52" s="4" t="s">
        <v>18</v>
      </c>
      <c r="B52" s="4">
        <v>310</v>
      </c>
      <c r="C52" s="4">
        <v>5800</v>
      </c>
    </row>
    <row r="53" spans="1:4" x14ac:dyDescent="0.25">
      <c r="A53" s="4" t="s">
        <v>26</v>
      </c>
      <c r="B53" s="4">
        <v>420</v>
      </c>
      <c r="C53" s="4">
        <v>6300</v>
      </c>
    </row>
    <row r="54" spans="1:4" x14ac:dyDescent="0.25">
      <c r="A54" s="4" t="s">
        <v>21</v>
      </c>
      <c r="B54" s="4">
        <v>260</v>
      </c>
      <c r="C54" s="4">
        <v>4800</v>
      </c>
    </row>
    <row r="55" spans="1:4" x14ac:dyDescent="0.25">
      <c r="A55" s="4" t="s">
        <v>23</v>
      </c>
      <c r="B55" s="4">
        <v>390</v>
      </c>
      <c r="C55" s="4">
        <v>7400</v>
      </c>
    </row>
    <row r="57" spans="1:4" x14ac:dyDescent="0.25">
      <c r="A57" s="2" t="s">
        <v>9</v>
      </c>
      <c r="B57" s="2" t="s">
        <v>12</v>
      </c>
      <c r="C57" s="2" t="s">
        <v>14</v>
      </c>
    </row>
    <row r="58" spans="1:4" x14ac:dyDescent="0.25">
      <c r="A58" s="4" t="s">
        <v>18</v>
      </c>
      <c r="B58">
        <f>SUMIF($A$46:$A$55,A58,$B$46:$B$55)</f>
        <v>910</v>
      </c>
      <c r="C58">
        <f>SUMIF($A$46:$A$55,A58,$C$46:$C$55)</f>
        <v>17200</v>
      </c>
    </row>
    <row r="59" spans="1:4" x14ac:dyDescent="0.25">
      <c r="A59" s="4" t="s">
        <v>21</v>
      </c>
      <c r="B59">
        <f t="shared" ref="B59:B61" si="2">SUMIF($A$46:$A$55,A59,$B$46:$B$55)</f>
        <v>780</v>
      </c>
      <c r="C59">
        <f t="shared" ref="C59:C61" si="3">SUMIF($A$46:$A$55,A59,$C$46:$C$55)</f>
        <v>14400</v>
      </c>
    </row>
    <row r="60" spans="1:4" x14ac:dyDescent="0.25">
      <c r="A60" s="4" t="s">
        <v>23</v>
      </c>
      <c r="B60">
        <f t="shared" si="2"/>
        <v>790</v>
      </c>
      <c r="C60">
        <f t="shared" si="3"/>
        <v>15000</v>
      </c>
    </row>
    <row r="61" spans="1:4" x14ac:dyDescent="0.25">
      <c r="A61" s="4" t="s">
        <v>26</v>
      </c>
      <c r="B61">
        <f t="shared" si="2"/>
        <v>770</v>
      </c>
      <c r="C61">
        <f t="shared" si="3"/>
        <v>11300</v>
      </c>
    </row>
    <row r="63" spans="1:4" x14ac:dyDescent="0.25">
      <c r="A63">
        <v>4</v>
      </c>
      <c r="B63" t="s">
        <v>38</v>
      </c>
    </row>
    <row r="64" spans="1:4" x14ac:dyDescent="0.25">
      <c r="A64">
        <v>5</v>
      </c>
      <c r="B64" t="s">
        <v>38</v>
      </c>
      <c r="C64" s="2"/>
      <c r="D64" s="2"/>
    </row>
    <row r="65" spans="1:4" x14ac:dyDescent="0.25">
      <c r="A65" s="4"/>
      <c r="B65" s="4"/>
      <c r="C65" s="4"/>
      <c r="D65" s="4"/>
    </row>
    <row r="66" spans="1:4" x14ac:dyDescent="0.25">
      <c r="A66" s="4">
        <v>6</v>
      </c>
      <c r="B66" s="4"/>
      <c r="C66" s="4"/>
      <c r="D66" s="4"/>
    </row>
    <row r="67" spans="1:4" ht="15" customHeight="1" x14ac:dyDescent="0.25">
      <c r="A67" s="2" t="s">
        <v>7</v>
      </c>
      <c r="B67" s="2" t="s">
        <v>12</v>
      </c>
      <c r="C67" s="4" t="s">
        <v>39</v>
      </c>
      <c r="D67" s="4"/>
    </row>
    <row r="68" spans="1:4" x14ac:dyDescent="0.25">
      <c r="A68" s="3">
        <v>45658</v>
      </c>
      <c r="B68">
        <f>SUMIF($A$3:$A$12,A68,$B$3:$B$12)</f>
        <v>970</v>
      </c>
      <c r="C68" s="4"/>
      <c r="D68" s="4"/>
    </row>
    <row r="69" spans="1:4" x14ac:dyDescent="0.25">
      <c r="A69" s="3">
        <v>45659</v>
      </c>
      <c r="B69">
        <f>SUMIF($A$3:$A$12,A69,$B$3:$B$12)</f>
        <v>630</v>
      </c>
      <c r="C69" s="4"/>
      <c r="D69" s="4"/>
    </row>
    <row r="70" spans="1:4" ht="15" customHeight="1" x14ac:dyDescent="0.25">
      <c r="A70" s="3">
        <v>45660</v>
      </c>
      <c r="B70">
        <f>SUMIF($A$3:$A$12,A70,$B$3:$B$12)</f>
        <v>1000</v>
      </c>
      <c r="C70" s="4">
        <f>AVERAGE(B68:B70)</f>
        <v>866.66666666666663</v>
      </c>
      <c r="D70" s="4"/>
    </row>
    <row r="71" spans="1:4" ht="15" customHeight="1" x14ac:dyDescent="0.25">
      <c r="A71" s="3">
        <v>45661</v>
      </c>
      <c r="B71">
        <f>SUMIF($A$3:$A$12,A71,$B$3:$B$12)</f>
        <v>650</v>
      </c>
      <c r="C71" s="4">
        <f>AVERAGE(B69:B71)</f>
        <v>760</v>
      </c>
      <c r="D71" s="4"/>
    </row>
    <row r="72" spans="1:4" ht="15" customHeight="1" x14ac:dyDescent="0.25">
      <c r="A72" s="3"/>
      <c r="B72" s="4"/>
      <c r="C72" s="4"/>
      <c r="D72" s="4"/>
    </row>
    <row r="73" spans="1:4" ht="15" customHeight="1" x14ac:dyDescent="0.25">
      <c r="A73" s="4">
        <v>7</v>
      </c>
      <c r="B73" t="s">
        <v>38</v>
      </c>
      <c r="C73" s="4"/>
      <c r="D73" s="4"/>
    </row>
    <row r="74" spans="1:4" ht="15" customHeight="1" x14ac:dyDescent="0.25">
      <c r="B74" s="4"/>
      <c r="C74" s="4"/>
      <c r="D74" s="4"/>
    </row>
    <row r="75" spans="1:4" x14ac:dyDescent="0.25">
      <c r="A75" s="4">
        <v>8</v>
      </c>
    </row>
    <row r="76" spans="1:4" x14ac:dyDescent="0.25">
      <c r="A76" s="3" t="s">
        <v>40</v>
      </c>
      <c r="B76" s="2">
        <v>4063</v>
      </c>
      <c r="C76" s="2"/>
      <c r="D76" s="2"/>
    </row>
    <row r="77" spans="1:4" x14ac:dyDescent="0.25">
      <c r="A77" s="3"/>
    </row>
    <row r="78" spans="1:4" x14ac:dyDescent="0.25">
      <c r="A78" s="2" t="s">
        <v>7</v>
      </c>
      <c r="B78" s="2" t="s">
        <v>12</v>
      </c>
      <c r="C78" t="s">
        <v>41</v>
      </c>
    </row>
    <row r="79" spans="1:4" x14ac:dyDescent="0.25">
      <c r="A79" s="3">
        <v>45658</v>
      </c>
      <c r="B79">
        <f>SUMIF($A$3:$A$12,A79,$B$3:$B$12)</f>
        <v>970</v>
      </c>
      <c r="C79" s="5">
        <f>SUM(B$79:B79)/$B$76</f>
        <v>0.23873984740339652</v>
      </c>
    </row>
    <row r="80" spans="1:4" x14ac:dyDescent="0.25">
      <c r="A80" s="3">
        <v>45659</v>
      </c>
      <c r="B80">
        <f>SUMIF($A$3:$A$12,A80,$B$3:$B$12)</f>
        <v>630</v>
      </c>
      <c r="C80" s="5">
        <f>SUM(B$79:B80)/$B$76</f>
        <v>0.3937976864385922</v>
      </c>
    </row>
    <row r="81" spans="1:3" x14ac:dyDescent="0.25">
      <c r="A81" s="3">
        <v>45660</v>
      </c>
      <c r="B81">
        <f>SUMIF($A$3:$A$12,A81,$B$3:$B$12)</f>
        <v>1000</v>
      </c>
      <c r="C81" s="5">
        <f>SUM(B$79:B81)/$B$76</f>
        <v>0.63992124046271226</v>
      </c>
    </row>
    <row r="82" spans="1:3" x14ac:dyDescent="0.25">
      <c r="A82" s="3">
        <v>45661</v>
      </c>
      <c r="B82">
        <f>SUMIF($A$3:$A$12,A82,$B$3:$B$12)</f>
        <v>650</v>
      </c>
      <c r="C82" s="5">
        <f>SUM(B$79:B82)/$B$76</f>
        <v>0.7999015505783903</v>
      </c>
    </row>
    <row r="83" spans="1:3" x14ac:dyDescent="0.25">
      <c r="A83" s="3"/>
      <c r="B83" s="4"/>
    </row>
    <row r="84" spans="1:3" x14ac:dyDescent="0.25">
      <c r="A84" s="3" t="s">
        <v>42</v>
      </c>
      <c r="B84" s="4"/>
    </row>
    <row r="85" spans="1:3" x14ac:dyDescent="0.25">
      <c r="A85" s="3" t="s">
        <v>43</v>
      </c>
      <c r="B85" s="12">
        <v>0.2</v>
      </c>
      <c r="C85">
        <f>B85*$B$76</f>
        <v>812.6</v>
      </c>
    </row>
    <row r="86" spans="1:3" x14ac:dyDescent="0.25">
      <c r="A86" s="3" t="s">
        <v>44</v>
      </c>
      <c r="B86" s="12">
        <v>0.2</v>
      </c>
      <c r="C86">
        <f t="shared" ref="C86:C88" si="4">B86*$B$76</f>
        <v>812.6</v>
      </c>
    </row>
    <row r="87" spans="1:3" x14ac:dyDescent="0.25">
      <c r="A87" s="3" t="s">
        <v>45</v>
      </c>
      <c r="B87" s="12">
        <v>0.4</v>
      </c>
      <c r="C87">
        <f t="shared" si="4"/>
        <v>1625.2</v>
      </c>
    </row>
    <row r="88" spans="1:3" x14ac:dyDescent="0.25">
      <c r="A88" s="3" t="s">
        <v>46</v>
      </c>
      <c r="B88" s="12">
        <v>0.2</v>
      </c>
      <c r="C88">
        <f t="shared" si="4"/>
        <v>812.6</v>
      </c>
    </row>
    <row r="89" spans="1:3" x14ac:dyDescent="0.25">
      <c r="A89" s="3" t="s">
        <v>47</v>
      </c>
      <c r="B89" s="13">
        <f>SUM(B85:B88)</f>
        <v>1</v>
      </c>
      <c r="C89">
        <f>SUM(C85:C88)</f>
        <v>4063</v>
      </c>
    </row>
    <row r="91" spans="1:3" x14ac:dyDescent="0.25">
      <c r="A91" s="3" t="s">
        <v>48</v>
      </c>
      <c r="B91" s="13">
        <f>C91/$B$76</f>
        <v>0.7999015505783903</v>
      </c>
      <c r="C91">
        <v>3250</v>
      </c>
    </row>
    <row r="93" spans="1:3" x14ac:dyDescent="0.25">
      <c r="A93" s="3" t="s">
        <v>49</v>
      </c>
    </row>
    <row r="94" spans="1:3" x14ac:dyDescent="0.25">
      <c r="A94" t="s">
        <v>50</v>
      </c>
      <c r="B94" s="13">
        <f>B91-B95/2</f>
        <v>0.77990155057839028</v>
      </c>
    </row>
    <row r="95" spans="1:3" x14ac:dyDescent="0.25">
      <c r="A95" s="3" t="s">
        <v>49</v>
      </c>
      <c r="B95" s="13">
        <v>0.04</v>
      </c>
    </row>
    <row r="96" spans="1:3" x14ac:dyDescent="0.25">
      <c r="A96" t="s">
        <v>51</v>
      </c>
      <c r="B96" s="13">
        <f>SUM(B85:B89)-B94-B95</f>
        <v>1.1800984494216098</v>
      </c>
    </row>
    <row r="98" spans="1:3" x14ac:dyDescent="0.25">
      <c r="A98" s="4">
        <v>9</v>
      </c>
    </row>
    <row r="100" spans="1:3" x14ac:dyDescent="0.25">
      <c r="A100" s="3" t="s">
        <v>40</v>
      </c>
      <c r="B100" s="2">
        <f>SUM(B103:B106)</f>
        <v>57900</v>
      </c>
      <c r="C100">
        <f>B100/4</f>
        <v>14475</v>
      </c>
    </row>
    <row r="102" spans="1:3" x14ac:dyDescent="0.25">
      <c r="A102" s="2" t="s">
        <v>9</v>
      </c>
      <c r="B102" s="2" t="s">
        <v>14</v>
      </c>
      <c r="C102" t="s">
        <v>54</v>
      </c>
    </row>
    <row r="103" spans="1:3" x14ac:dyDescent="0.25">
      <c r="A103" s="4" t="s">
        <v>18</v>
      </c>
      <c r="B103">
        <v>17200</v>
      </c>
      <c r="C103">
        <v>14475</v>
      </c>
    </row>
    <row r="104" spans="1:3" x14ac:dyDescent="0.25">
      <c r="A104" s="4" t="s">
        <v>21</v>
      </c>
      <c r="B104">
        <v>14400</v>
      </c>
      <c r="C104">
        <v>14475</v>
      </c>
    </row>
    <row r="105" spans="1:3" x14ac:dyDescent="0.25">
      <c r="A105" s="4" t="s">
        <v>23</v>
      </c>
      <c r="B105">
        <v>15000</v>
      </c>
      <c r="C105">
        <v>14475</v>
      </c>
    </row>
    <row r="106" spans="1:3" x14ac:dyDescent="0.25">
      <c r="A106" s="4" t="s">
        <v>26</v>
      </c>
      <c r="B106">
        <v>11300</v>
      </c>
      <c r="C106">
        <v>14475</v>
      </c>
    </row>
  </sheetData>
  <autoFilter ref="A35:B40" xr:uid="{6F6CE0EF-4E00-425B-9678-DBF453600C36}">
    <sortState xmlns:xlrd2="http://schemas.microsoft.com/office/spreadsheetml/2017/richdata2" ref="A36:B40">
      <sortCondition descending="1" ref="B35"/>
    </sortState>
  </autoFilter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8EB42-78FE-4982-80EA-DE435469ACDE}">
  <dimension ref="A3:B16"/>
  <sheetViews>
    <sheetView workbookViewId="0">
      <selection activeCell="E15" sqref="E15"/>
    </sheetView>
  </sheetViews>
  <sheetFormatPr defaultRowHeight="15" x14ac:dyDescent="0.25"/>
  <cols>
    <col min="1" max="1" width="18" bestFit="1" customWidth="1"/>
    <col min="2" max="2" width="19.85546875" bestFit="1" customWidth="1"/>
  </cols>
  <sheetData>
    <row r="3" spans="1:2" x14ac:dyDescent="0.25">
      <c r="A3" s="6" t="s">
        <v>35</v>
      </c>
      <c r="B3" t="s">
        <v>34</v>
      </c>
    </row>
    <row r="4" spans="1:2" x14ac:dyDescent="0.25">
      <c r="A4" s="7" t="s">
        <v>24</v>
      </c>
      <c r="B4">
        <v>18900</v>
      </c>
    </row>
    <row r="5" spans="1:2" x14ac:dyDescent="0.25">
      <c r="A5" s="8" t="s">
        <v>20</v>
      </c>
      <c r="B5">
        <v>5000</v>
      </c>
    </row>
    <row r="6" spans="1:2" x14ac:dyDescent="0.25">
      <c r="A6" s="9" t="s">
        <v>17</v>
      </c>
      <c r="B6">
        <v>5000</v>
      </c>
    </row>
    <row r="7" spans="1:2" x14ac:dyDescent="0.25">
      <c r="A7" s="8" t="s">
        <v>25</v>
      </c>
      <c r="B7">
        <v>13900</v>
      </c>
    </row>
    <row r="8" spans="1:2" x14ac:dyDescent="0.25">
      <c r="A8" s="9" t="s">
        <v>22</v>
      </c>
      <c r="B8">
        <v>13900</v>
      </c>
    </row>
    <row r="9" spans="1:2" x14ac:dyDescent="0.25">
      <c r="A9" s="7" t="s">
        <v>19</v>
      </c>
      <c r="B9">
        <v>31600</v>
      </c>
    </row>
    <row r="10" spans="1:2" x14ac:dyDescent="0.25">
      <c r="A10" s="8" t="s">
        <v>20</v>
      </c>
      <c r="B10">
        <v>15500</v>
      </c>
    </row>
    <row r="11" spans="1:2" x14ac:dyDescent="0.25">
      <c r="A11" s="9" t="s">
        <v>17</v>
      </c>
      <c r="B11">
        <v>15500</v>
      </c>
    </row>
    <row r="12" spans="1:2" x14ac:dyDescent="0.25">
      <c r="A12" s="8" t="s">
        <v>25</v>
      </c>
      <c r="B12">
        <v>5400</v>
      </c>
    </row>
    <row r="13" spans="1:2" x14ac:dyDescent="0.25">
      <c r="A13" s="9" t="s">
        <v>22</v>
      </c>
      <c r="B13">
        <v>5400</v>
      </c>
    </row>
    <row r="14" spans="1:2" x14ac:dyDescent="0.25">
      <c r="A14" s="8" t="s">
        <v>28</v>
      </c>
      <c r="B14">
        <v>10700</v>
      </c>
    </row>
    <row r="15" spans="1:2" x14ac:dyDescent="0.25">
      <c r="A15" s="9" t="s">
        <v>27</v>
      </c>
      <c r="B15">
        <v>10700</v>
      </c>
    </row>
    <row r="16" spans="1:2" x14ac:dyDescent="0.25">
      <c r="A16" s="7" t="s">
        <v>36</v>
      </c>
      <c r="B16">
        <v>50500</v>
      </c>
    </row>
  </sheetData>
  <pageMargins left="0.511811024" right="0.511811024" top="0.78740157499999996" bottom="0.78740157499999996" header="0.31496062000000002" footer="0.31496062000000002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E11EE-DA8B-4173-8EF5-F5870B6A8A00}">
  <dimension ref="A3:B16"/>
  <sheetViews>
    <sheetView workbookViewId="0">
      <selection activeCell="B8" sqref="B8"/>
    </sheetView>
  </sheetViews>
  <sheetFormatPr defaultRowHeight="15" x14ac:dyDescent="0.25"/>
  <cols>
    <col min="1" max="1" width="18" bestFit="1" customWidth="1"/>
    <col min="2" max="2" width="29.28515625" bestFit="1" customWidth="1"/>
  </cols>
  <sheetData>
    <row r="3" spans="1:2" x14ac:dyDescent="0.25">
      <c r="A3" s="6" t="s">
        <v>35</v>
      </c>
      <c r="B3" t="s">
        <v>37</v>
      </c>
    </row>
    <row r="4" spans="1:2" x14ac:dyDescent="0.25">
      <c r="A4" s="10">
        <v>45658</v>
      </c>
      <c r="B4">
        <v>970</v>
      </c>
    </row>
    <row r="5" spans="1:2" x14ac:dyDescent="0.25">
      <c r="A5" s="8">
        <v>1</v>
      </c>
      <c r="B5">
        <v>720</v>
      </c>
    </row>
    <row r="6" spans="1:2" x14ac:dyDescent="0.25">
      <c r="A6" s="8">
        <v>2</v>
      </c>
      <c r="B6">
        <v>250</v>
      </c>
    </row>
    <row r="7" spans="1:2" x14ac:dyDescent="0.25">
      <c r="A7" s="10">
        <v>45659</v>
      </c>
      <c r="B7">
        <v>630</v>
      </c>
    </row>
    <row r="8" spans="1:2" x14ac:dyDescent="0.25">
      <c r="A8" s="8">
        <v>1</v>
      </c>
      <c r="B8">
        <v>350</v>
      </c>
    </row>
    <row r="9" spans="1:2" x14ac:dyDescent="0.25">
      <c r="A9" s="8">
        <v>2</v>
      </c>
      <c r="B9">
        <v>280</v>
      </c>
    </row>
    <row r="10" spans="1:2" x14ac:dyDescent="0.25">
      <c r="A10" s="10">
        <v>45660</v>
      </c>
      <c r="B10">
        <v>1000</v>
      </c>
    </row>
    <row r="11" spans="1:2" x14ac:dyDescent="0.25">
      <c r="A11" s="8">
        <v>1</v>
      </c>
      <c r="B11">
        <v>420</v>
      </c>
    </row>
    <row r="12" spans="1:2" x14ac:dyDescent="0.25">
      <c r="A12" s="8">
        <v>2</v>
      </c>
      <c r="B12">
        <v>310</v>
      </c>
    </row>
    <row r="13" spans="1:2" x14ac:dyDescent="0.25">
      <c r="A13" s="8">
        <v>3</v>
      </c>
      <c r="B13">
        <v>270</v>
      </c>
    </row>
    <row r="14" spans="1:2" x14ac:dyDescent="0.25">
      <c r="A14" s="10">
        <v>45661</v>
      </c>
      <c r="B14">
        <v>260</v>
      </c>
    </row>
    <row r="15" spans="1:2" x14ac:dyDescent="0.25">
      <c r="A15" s="8">
        <v>3</v>
      </c>
      <c r="B15">
        <v>260</v>
      </c>
    </row>
    <row r="16" spans="1:2" x14ac:dyDescent="0.25">
      <c r="A16" s="10" t="s">
        <v>36</v>
      </c>
      <c r="B16">
        <v>2860</v>
      </c>
    </row>
  </sheetData>
  <pageMargins left="0.511811024" right="0.511811024" top="0.78740157499999996" bottom="0.78740157499999996" header="0.31496062000000002" footer="0.31496062000000002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0730BF-C918-46FE-BBCB-2E3E4C7488CD}">
  <dimension ref="A3:B7"/>
  <sheetViews>
    <sheetView workbookViewId="0">
      <selection activeCell="D19" sqref="D19"/>
    </sheetView>
  </sheetViews>
  <sheetFormatPr defaultRowHeight="15" x14ac:dyDescent="0.25"/>
  <cols>
    <col min="1" max="1" width="18" bestFit="1" customWidth="1"/>
    <col min="2" max="2" width="19.85546875" bestFit="1" customWidth="1"/>
    <col min="3" max="3" width="29.28515625" bestFit="1" customWidth="1"/>
  </cols>
  <sheetData>
    <row r="3" spans="1:2" x14ac:dyDescent="0.25">
      <c r="A3" s="6" t="s">
        <v>35</v>
      </c>
      <c r="B3" t="s">
        <v>34</v>
      </c>
    </row>
    <row r="4" spans="1:2" x14ac:dyDescent="0.25">
      <c r="A4" s="7" t="s">
        <v>17</v>
      </c>
      <c r="B4" s="11">
        <v>20500</v>
      </c>
    </row>
    <row r="5" spans="1:2" x14ac:dyDescent="0.25">
      <c r="A5" s="7" t="s">
        <v>22</v>
      </c>
      <c r="B5" s="11">
        <v>19300</v>
      </c>
    </row>
    <row r="6" spans="1:2" x14ac:dyDescent="0.25">
      <c r="A6" s="7" t="s">
        <v>27</v>
      </c>
      <c r="B6" s="11">
        <v>18100</v>
      </c>
    </row>
    <row r="7" spans="1:2" x14ac:dyDescent="0.25">
      <c r="A7" s="7" t="s">
        <v>36</v>
      </c>
      <c r="B7" s="11">
        <v>57900</v>
      </c>
    </row>
  </sheetData>
  <pageMargins left="0.511811024" right="0.511811024" top="0.78740157499999996" bottom="0.78740157499999996" header="0.31496062000000002" footer="0.31496062000000002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A9A9A-BD8E-4440-BA0E-2C373567ACDE}">
  <dimension ref="A3:B8"/>
  <sheetViews>
    <sheetView workbookViewId="0">
      <selection activeCell="G2" sqref="G2"/>
    </sheetView>
  </sheetViews>
  <sheetFormatPr defaultRowHeight="15" x14ac:dyDescent="0.25"/>
  <cols>
    <col min="1" max="1" width="18" bestFit="1" customWidth="1"/>
    <col min="2" max="2" width="29.28515625" bestFit="1" customWidth="1"/>
  </cols>
  <sheetData>
    <row r="3" spans="1:2" x14ac:dyDescent="0.25">
      <c r="A3" s="6" t="s">
        <v>35</v>
      </c>
      <c r="B3" t="s">
        <v>37</v>
      </c>
    </row>
    <row r="4" spans="1:2" x14ac:dyDescent="0.25">
      <c r="A4" s="10">
        <v>45658</v>
      </c>
      <c r="B4" s="11">
        <v>970</v>
      </c>
    </row>
    <row r="5" spans="1:2" x14ac:dyDescent="0.25">
      <c r="A5" s="10">
        <v>45659</v>
      </c>
      <c r="B5" s="11">
        <v>630</v>
      </c>
    </row>
    <row r="6" spans="1:2" x14ac:dyDescent="0.25">
      <c r="A6" s="10">
        <v>45660</v>
      </c>
      <c r="B6" s="11">
        <v>1000</v>
      </c>
    </row>
    <row r="7" spans="1:2" x14ac:dyDescent="0.25">
      <c r="A7" s="10">
        <v>45661</v>
      </c>
      <c r="B7" s="11">
        <v>650</v>
      </c>
    </row>
    <row r="8" spans="1:2" x14ac:dyDescent="0.25">
      <c r="A8" s="10" t="s">
        <v>36</v>
      </c>
      <c r="B8" s="11">
        <v>3250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DEA8C-111F-4342-B8B5-685C4D6F3E28}">
  <dimension ref="A3:B6"/>
  <sheetViews>
    <sheetView workbookViewId="0">
      <selection activeCell="L10" sqref="L10"/>
    </sheetView>
  </sheetViews>
  <sheetFormatPr defaultRowHeight="15" x14ac:dyDescent="0.25"/>
  <cols>
    <col min="1" max="1" width="18" bestFit="1" customWidth="1"/>
    <col min="2" max="2" width="19.85546875" bestFit="1" customWidth="1"/>
  </cols>
  <sheetData>
    <row r="3" spans="1:2" x14ac:dyDescent="0.25">
      <c r="A3" s="6" t="s">
        <v>35</v>
      </c>
      <c r="B3" t="s">
        <v>34</v>
      </c>
    </row>
    <row r="4" spans="1:2" x14ac:dyDescent="0.25">
      <c r="A4" s="7" t="s">
        <v>24</v>
      </c>
      <c r="B4" s="11">
        <v>26300</v>
      </c>
    </row>
    <row r="5" spans="1:2" x14ac:dyDescent="0.25">
      <c r="A5" s="7" t="s">
        <v>19</v>
      </c>
      <c r="B5" s="11">
        <v>31600</v>
      </c>
    </row>
    <row r="6" spans="1:2" x14ac:dyDescent="0.25">
      <c r="A6" s="7" t="s">
        <v>36</v>
      </c>
      <c r="B6" s="11">
        <v>57900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8ACB26-8688-4E3B-8162-7656D69D654F}">
  <dimension ref="A1"/>
  <sheetViews>
    <sheetView workbookViewId="0">
      <selection activeCell="Q9" sqref="Q9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exemplo youtube</vt:lpstr>
      <vt:lpstr>base dados chatgpt</vt:lpstr>
      <vt:lpstr>exercícios</vt:lpstr>
      <vt:lpstr>ex 4</vt:lpstr>
      <vt:lpstr>ex 5</vt:lpstr>
      <vt:lpstr>ex 7 (1)</vt:lpstr>
      <vt:lpstr>ex 7 (2)</vt:lpstr>
      <vt:lpstr>ex 7 (3)</vt:lpstr>
      <vt:lpstr>Dashboard 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Ramos</dc:creator>
  <cp:lastModifiedBy>Gabriel Ramos</cp:lastModifiedBy>
  <dcterms:created xsi:type="dcterms:W3CDTF">2025-10-13T22:55:28Z</dcterms:created>
  <dcterms:modified xsi:type="dcterms:W3CDTF">2025-10-14T14:40:44Z</dcterms:modified>
</cp:coreProperties>
</file>